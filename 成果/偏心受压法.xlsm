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shi\Desktop\vba\成果\"/>
    </mc:Choice>
  </mc:AlternateContent>
  <xr:revisionPtr revIDLastSave="0" documentId="12_ncr:500000_{9FFED502-03BB-4F2E-BDE5-712475919AEC}" xr6:coauthVersionLast="31" xr6:coauthVersionMax="31" xr10:uidLastSave="{00000000-0000-0000-0000-000000000000}"/>
  <bookViews>
    <workbookView xWindow="0" yWindow="0" windowWidth="18540" windowHeight="7320" xr2:uid="{00000000-000D-0000-FFFF-FFFF00000000}"/>
  </bookViews>
  <sheets>
    <sheet name="n=8" sheetId="1" r:id="rId1"/>
    <sheet name="n=7" sheetId="2" r:id="rId2"/>
    <sheet name="n=6" sheetId="4" r:id="rId3"/>
    <sheet name="n=5" sheetId="3" r:id="rId4"/>
  </sheets>
  <calcPr calcId="162913"/>
</workbook>
</file>

<file path=xl/calcChain.xml><?xml version="1.0" encoding="utf-8"?>
<calcChain xmlns="http://schemas.openxmlformats.org/spreadsheetml/2006/main">
  <c r="G7" i="3" l="1"/>
  <c r="D7" i="3"/>
  <c r="E7" i="3" s="1"/>
  <c r="B7" i="3"/>
  <c r="G6" i="3"/>
  <c r="D6" i="3"/>
  <c r="E6" i="3" s="1"/>
  <c r="B6" i="3"/>
  <c r="G5" i="3"/>
  <c r="D5" i="3"/>
  <c r="B5" i="3"/>
  <c r="G4" i="3"/>
  <c r="D4" i="3"/>
  <c r="B4" i="3"/>
  <c r="G3" i="3"/>
  <c r="G8" i="3" s="1"/>
  <c r="D3" i="3"/>
  <c r="B3" i="3"/>
  <c r="F2" i="3"/>
  <c r="A19" i="4"/>
  <c r="G9" i="4"/>
  <c r="D9" i="4"/>
  <c r="H19" i="4" s="1"/>
  <c r="G8" i="4"/>
  <c r="E8" i="4"/>
  <c r="D8" i="4"/>
  <c r="B8" i="4"/>
  <c r="G7" i="4"/>
  <c r="E7" i="4"/>
  <c r="D7" i="4"/>
  <c r="B7" i="4"/>
  <c r="G6" i="4"/>
  <c r="E6" i="4"/>
  <c r="D6" i="4"/>
  <c r="B6" i="4"/>
  <c r="G5" i="4"/>
  <c r="E5" i="4"/>
  <c r="D5" i="4"/>
  <c r="B5" i="4"/>
  <c r="G4" i="4"/>
  <c r="E4" i="4"/>
  <c r="D4" i="4"/>
  <c r="B4" i="4"/>
  <c r="G3" i="4"/>
  <c r="E3" i="4"/>
  <c r="E9" i="4" s="1"/>
  <c r="B26" i="4" s="1"/>
  <c r="D3" i="4"/>
  <c r="B3" i="4"/>
  <c r="F2" i="4"/>
  <c r="G9" i="2"/>
  <c r="D9" i="2"/>
  <c r="E9" i="2" s="1"/>
  <c r="B9" i="2"/>
  <c r="G8" i="2"/>
  <c r="D8" i="2"/>
  <c r="E8" i="2" s="1"/>
  <c r="B8" i="2"/>
  <c r="G7" i="2"/>
  <c r="D7" i="2"/>
  <c r="E7" i="2" s="1"/>
  <c r="B7" i="2"/>
  <c r="G6" i="2"/>
  <c r="D6" i="2"/>
  <c r="E6" i="2" s="1"/>
  <c r="B6" i="2"/>
  <c r="G5" i="2"/>
  <c r="D5" i="2"/>
  <c r="B5" i="2"/>
  <c r="G4" i="2"/>
  <c r="D4" i="2"/>
  <c r="B4" i="2"/>
  <c r="G3" i="2"/>
  <c r="G10" i="2" s="1"/>
  <c r="D3" i="2"/>
  <c r="B3" i="2"/>
  <c r="F2" i="2"/>
  <c r="A13" i="2" l="1"/>
  <c r="E3" i="2"/>
  <c r="D10" i="2"/>
  <c r="A31" i="2" s="1"/>
  <c r="B12" i="4"/>
  <c r="B19" i="4"/>
  <c r="D21" i="4" s="1"/>
  <c r="J26" i="4"/>
  <c r="E5" i="3"/>
  <c r="H31" i="2"/>
  <c r="E5" i="2"/>
  <c r="I26" i="4"/>
  <c r="I19" i="4"/>
  <c r="K21" i="4" s="1"/>
  <c r="E4" i="3"/>
  <c r="H22" i="2"/>
  <c r="E4" i="2"/>
  <c r="A22" i="2"/>
  <c r="I12" i="4"/>
  <c r="D23" i="4"/>
  <c r="E3" i="3"/>
  <c r="H11" i="3"/>
  <c r="D8" i="3"/>
  <c r="A11" i="3" s="1"/>
  <c r="J19" i="4"/>
  <c r="H12" i="4"/>
  <c r="A26" i="4"/>
  <c r="A12" i="4"/>
  <c r="J12" i="4"/>
  <c r="H26" i="4"/>
  <c r="K16" i="4" l="1"/>
  <c r="K15" i="4"/>
  <c r="K13" i="4"/>
  <c r="K14" i="4"/>
  <c r="D15" i="4"/>
  <c r="D14" i="4"/>
  <c r="D13" i="4"/>
  <c r="D16" i="4"/>
  <c r="D30" i="4"/>
  <c r="D29" i="4"/>
  <c r="D28" i="4"/>
  <c r="D27" i="4"/>
  <c r="D22" i="4"/>
  <c r="H18" i="3"/>
  <c r="A25" i="3"/>
  <c r="H25" i="3"/>
  <c r="E10" i="2"/>
  <c r="K20" i="4"/>
  <c r="E8" i="3"/>
  <c r="D20" i="4"/>
  <c r="A18" i="3"/>
  <c r="K28" i="4"/>
  <c r="K27" i="4"/>
  <c r="K29" i="4"/>
  <c r="K30" i="4"/>
  <c r="K23" i="4"/>
  <c r="K22" i="4"/>
  <c r="H13" i="2"/>
  <c r="M28" i="4" l="1"/>
  <c r="M27" i="4"/>
  <c r="B13" i="2"/>
  <c r="J31" i="2"/>
  <c r="I22" i="2"/>
  <c r="B22" i="2"/>
  <c r="I13" i="2"/>
  <c r="K14" i="2" s="1"/>
  <c r="B31" i="2"/>
  <c r="I31" i="2"/>
  <c r="J22" i="2"/>
  <c r="J13" i="2"/>
  <c r="F21" i="4"/>
  <c r="F20" i="4"/>
  <c r="F24" i="4" s="1"/>
  <c r="M21" i="4"/>
  <c r="M20" i="4"/>
  <c r="M24" i="4" s="1"/>
  <c r="F28" i="4"/>
  <c r="F27" i="4"/>
  <c r="F31" i="4" s="1"/>
  <c r="D21" i="3"/>
  <c r="D19" i="3"/>
  <c r="B25" i="3"/>
  <c r="D26" i="3" s="1"/>
  <c r="J18" i="3"/>
  <c r="I25" i="3"/>
  <c r="K28" i="3" s="1"/>
  <c r="B18" i="3"/>
  <c r="D22" i="3" s="1"/>
  <c r="J11" i="3"/>
  <c r="B11" i="3"/>
  <c r="I11" i="3"/>
  <c r="I18" i="3"/>
  <c r="K20" i="3" s="1"/>
  <c r="J25" i="3"/>
  <c r="D27" i="3"/>
  <c r="D29" i="3"/>
  <c r="F14" i="4"/>
  <c r="F13" i="4"/>
  <c r="F17" i="4" s="1"/>
  <c r="M14" i="4"/>
  <c r="M13" i="4"/>
  <c r="M17" i="4" s="1"/>
  <c r="F26" i="3" l="1"/>
  <c r="M15" i="2"/>
  <c r="K12" i="3"/>
  <c r="K14" i="3"/>
  <c r="K15" i="3"/>
  <c r="K13" i="3"/>
  <c r="K26" i="3"/>
  <c r="D17" i="2"/>
  <c r="D16" i="2"/>
  <c r="D19" i="2"/>
  <c r="D14" i="2"/>
  <c r="D18" i="2"/>
  <c r="D15" i="2"/>
  <c r="K22" i="3"/>
  <c r="K17" i="2"/>
  <c r="K15" i="2"/>
  <c r="M14" i="2" s="1"/>
  <c r="D28" i="3"/>
  <c r="F27" i="3" s="1"/>
  <c r="D13" i="3"/>
  <c r="D12" i="3"/>
  <c r="D15" i="3"/>
  <c r="D14" i="3"/>
  <c r="D20" i="3"/>
  <c r="F20" i="3" s="1"/>
  <c r="K27" i="3"/>
  <c r="D23" i="2"/>
  <c r="D28" i="2"/>
  <c r="D24" i="2"/>
  <c r="D26" i="2"/>
  <c r="D27" i="2"/>
  <c r="D25" i="2"/>
  <c r="K21" i="3"/>
  <c r="K19" i="2"/>
  <c r="K16" i="2"/>
  <c r="K29" i="3"/>
  <c r="K33" i="2"/>
  <c r="K37" i="2"/>
  <c r="K32" i="2"/>
  <c r="K35" i="2"/>
  <c r="K34" i="2"/>
  <c r="K36" i="2"/>
  <c r="K28" i="2"/>
  <c r="K25" i="2"/>
  <c r="K26" i="2"/>
  <c r="K24" i="2"/>
  <c r="K23" i="2"/>
  <c r="K27" i="2"/>
  <c r="K19" i="3"/>
  <c r="K18" i="2"/>
  <c r="D37" i="2"/>
  <c r="D32" i="2"/>
  <c r="D35" i="2"/>
  <c r="D36" i="2"/>
  <c r="D34" i="2"/>
  <c r="D33" i="2"/>
  <c r="M31" i="4"/>
  <c r="F19" i="3" l="1"/>
  <c r="F23" i="3" s="1"/>
  <c r="M20" i="3"/>
  <c r="M19" i="3"/>
  <c r="F13" i="3"/>
  <c r="F12" i="3"/>
  <c r="F16" i="3" s="1"/>
  <c r="F16" i="2"/>
  <c r="F15" i="2"/>
  <c r="F14" i="2"/>
  <c r="M27" i="3"/>
  <c r="M26" i="3"/>
  <c r="M30" i="3" s="1"/>
  <c r="M16" i="2"/>
  <c r="M20" i="2" s="1"/>
  <c r="M25" i="2"/>
  <c r="M24" i="2"/>
  <c r="M23" i="2"/>
  <c r="M29" i="2" s="1"/>
  <c r="M33" i="2"/>
  <c r="M32" i="2"/>
  <c r="M38" i="2" s="1"/>
  <c r="M34" i="2"/>
  <c r="M13" i="3"/>
  <c r="M12" i="3"/>
  <c r="F30" i="3"/>
  <c r="F34" i="2"/>
  <c r="F33" i="2"/>
  <c r="F32" i="2"/>
  <c r="F25" i="2"/>
  <c r="F24" i="2"/>
  <c r="F23" i="2"/>
  <c r="F29" i="2" s="1"/>
  <c r="F38" i="2" l="1"/>
  <c r="M16" i="3"/>
  <c r="M23" i="3"/>
  <c r="F20" i="2"/>
</calcChain>
</file>

<file path=xl/sharedStrings.xml><?xml version="1.0" encoding="utf-8"?>
<sst xmlns="http://schemas.openxmlformats.org/spreadsheetml/2006/main" count="397" uniqueCount="59">
  <si>
    <t>n</t>
  </si>
  <si>
    <t>i1</t>
  </si>
  <si>
    <t>l</t>
  </si>
  <si>
    <t>iT1</t>
  </si>
  <si>
    <t>a</t>
  </si>
  <si>
    <t>i2</t>
  </si>
  <si>
    <t>B</t>
  </si>
  <si>
    <t>iT2</t>
  </si>
  <si>
    <t>a1</t>
  </si>
  <si>
    <t>I1</t>
  </si>
  <si>
    <t>IT1</t>
  </si>
  <si>
    <t>a2</t>
  </si>
  <si>
    <t>I2</t>
  </si>
  <si>
    <t>IT2</t>
  </si>
  <si>
    <t>a3</t>
  </si>
  <si>
    <t>I3</t>
  </si>
  <si>
    <t>IT3</t>
  </si>
  <si>
    <t>a4</t>
  </si>
  <si>
    <t>I4</t>
  </si>
  <si>
    <t>IT4</t>
  </si>
  <si>
    <t>a5</t>
  </si>
  <si>
    <t>I5</t>
  </si>
  <si>
    <t>IT5</t>
  </si>
  <si>
    <t>a6</t>
  </si>
  <si>
    <t>I6</t>
  </si>
  <si>
    <t>IT6</t>
  </si>
  <si>
    <t>a7</t>
  </si>
  <si>
    <t>I7</t>
  </si>
  <si>
    <t>IT7</t>
  </si>
  <si>
    <t>偏心受压法</t>
  </si>
  <si>
    <t>修正偏心受压法</t>
  </si>
  <si>
    <t>一号梁</t>
  </si>
  <si>
    <t>e11</t>
  </si>
  <si>
    <t>η1</t>
  </si>
  <si>
    <t>mcq1</t>
  </si>
  <si>
    <t>e12</t>
  </si>
  <si>
    <t>η2</t>
  </si>
  <si>
    <t>mcq2</t>
  </si>
  <si>
    <t>e21</t>
  </si>
  <si>
    <t>η3</t>
  </si>
  <si>
    <t>mcq3</t>
  </si>
  <si>
    <t>e22</t>
  </si>
  <si>
    <t>η4</t>
  </si>
  <si>
    <t>e31</t>
  </si>
  <si>
    <t>η5</t>
  </si>
  <si>
    <t>e32</t>
  </si>
  <si>
    <t>η6</t>
  </si>
  <si>
    <t>mcq</t>
  </si>
  <si>
    <t>二号梁</t>
  </si>
  <si>
    <t>三号梁</t>
  </si>
  <si>
    <r>
      <t>i</t>
    </r>
    <r>
      <rPr>
        <sz val="11"/>
        <color theme="1"/>
        <rFont val="宋体"/>
        <family val="3"/>
        <charset val="134"/>
        <scheme val="minor"/>
      </rPr>
      <t>t1</t>
    </r>
    <phoneticPr fontId="5" type="noConversion"/>
  </si>
  <si>
    <t>l</t>
    <phoneticPr fontId="5" type="noConversion"/>
  </si>
  <si>
    <t>iT3</t>
  </si>
  <si>
    <t>iT4</t>
  </si>
  <si>
    <t>iT5</t>
  </si>
  <si>
    <t>iT6</t>
  </si>
  <si>
    <t>iT7</t>
  </si>
  <si>
    <t>请在下面输入梁号</t>
    <phoneticPr fontId="5" type="noConversion"/>
  </si>
  <si>
    <t>1号梁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</si>
</sst>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9" x14ac:knownFonts="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rgb="FFFF0000"/>
      <name val="黑体"/>
      <charset val="134"/>
    </font>
    <font>
      <b/>
      <sz val="11"/>
      <color rgb="FFFF0000"/>
      <name val="宋体"/>
      <charset val="134"/>
      <scheme val="minor"/>
    </font>
    <font>
      <sz val="9.75"/>
      <color rgb="FF333333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10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/>
    </xf>
    <xf numFmtId="0" fontId="0" fillId="0" borderId="0" xfId="0" applyBorder="1">
      <alignment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9525</xdr:colOff>
          <xdr:row>4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洪荒之力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9525</xdr:colOff>
          <xdr:row>6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消灭人类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8</xdr:col>
          <xdr:colOff>952500</xdr:colOff>
          <xdr:row>1</xdr:row>
          <xdr:rowOff>171450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偏心受压法计算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</xdr:row>
          <xdr:rowOff>0</xdr:rowOff>
        </xdr:from>
        <xdr:to>
          <xdr:col>8</xdr:col>
          <xdr:colOff>962025</xdr:colOff>
          <xdr:row>4</xdr:row>
          <xdr:rowOff>9525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0</xdr:row>
          <xdr:rowOff>19050</xdr:rowOff>
        </xdr:from>
        <xdr:to>
          <xdr:col>15</xdr:col>
          <xdr:colOff>1047750</xdr:colOff>
          <xdr:row>1</xdr:row>
          <xdr:rowOff>171450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修正偏心受压法计算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</xdr:row>
          <xdr:rowOff>9525</xdr:rowOff>
        </xdr:from>
        <xdr:to>
          <xdr:col>15</xdr:col>
          <xdr:colOff>1028700</xdr:colOff>
          <xdr:row>4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</xdr:colOff>
      <xdr:row>0</xdr:row>
      <xdr:rowOff>635</xdr:rowOff>
    </xdr:from>
    <xdr:to>
      <xdr:col>37</xdr:col>
      <xdr:colOff>85725</xdr:colOff>
      <xdr:row>60</xdr:row>
      <xdr:rowOff>92075</xdr:rowOff>
    </xdr:to>
    <xdr:pic>
      <xdr:nvPicPr>
        <xdr:cNvPr id="2" name="图片 1" descr="图片1副本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635"/>
          <a:ext cx="22983190" cy="108800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</xdr:colOff>
      <xdr:row>0</xdr:row>
      <xdr:rowOff>635</xdr:rowOff>
    </xdr:from>
    <xdr:to>
      <xdr:col>37</xdr:col>
      <xdr:colOff>257175</xdr:colOff>
      <xdr:row>60</xdr:row>
      <xdr:rowOff>92075</xdr:rowOff>
    </xdr:to>
    <xdr:pic>
      <xdr:nvPicPr>
        <xdr:cNvPr id="2" name="图片 1" descr="图片1副本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635"/>
          <a:ext cx="22983190" cy="108800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</xdr:colOff>
      <xdr:row>0</xdr:row>
      <xdr:rowOff>635</xdr:rowOff>
    </xdr:from>
    <xdr:to>
      <xdr:col>37</xdr:col>
      <xdr:colOff>34925</xdr:colOff>
      <xdr:row>60</xdr:row>
      <xdr:rowOff>92075</xdr:rowOff>
    </xdr:to>
    <xdr:pic>
      <xdr:nvPicPr>
        <xdr:cNvPr id="2" name="图片 1" descr="图片1副本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635"/>
          <a:ext cx="22983190" cy="108800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0"/>
  <sheetViews>
    <sheetView tabSelected="1" zoomScale="70" zoomScaleNormal="70" workbookViewId="0">
      <selection activeCell="K19" sqref="K19"/>
    </sheetView>
  </sheetViews>
  <sheetFormatPr defaultColWidth="9" defaultRowHeight="13.5" x14ac:dyDescent="0.15"/>
  <cols>
    <col min="1" max="1" width="9.5"/>
    <col min="4" max="5" width="9.5"/>
    <col min="8" max="8" width="9.375" customWidth="1"/>
    <col min="9" max="9" width="12.875"/>
    <col min="11" max="11" width="9.5"/>
    <col min="16" max="16" width="13.875" customWidth="1"/>
  </cols>
  <sheetData>
    <row r="1" spans="1:22" ht="19.5" thickTop="1" x14ac:dyDescent="0.15">
      <c r="A1" s="1" t="s">
        <v>0</v>
      </c>
      <c r="B1" s="2">
        <v>7</v>
      </c>
      <c r="C1" s="1" t="s">
        <v>1</v>
      </c>
      <c r="D1" s="2">
        <v>0.41199999999999998</v>
      </c>
      <c r="E1" s="26" t="s">
        <v>51</v>
      </c>
      <c r="F1" s="2">
        <v>24.4</v>
      </c>
      <c r="G1" s="26" t="s">
        <v>50</v>
      </c>
      <c r="H1" s="31">
        <v>8.1000000000000003E-2</v>
      </c>
      <c r="I1" s="22"/>
      <c r="J1" s="39" t="s">
        <v>29</v>
      </c>
      <c r="K1" s="40"/>
      <c r="L1" s="40"/>
      <c r="M1" s="40"/>
      <c r="N1" s="40"/>
      <c r="O1" s="41"/>
      <c r="Q1" s="39" t="s">
        <v>30</v>
      </c>
      <c r="R1" s="40"/>
      <c r="S1" s="40"/>
      <c r="T1" s="40"/>
      <c r="U1" s="40"/>
      <c r="V1" s="41"/>
    </row>
    <row r="2" spans="1:22" ht="14.25" thickBot="1" x14ac:dyDescent="0.2">
      <c r="A2" s="1" t="s">
        <v>4</v>
      </c>
      <c r="B2" s="2">
        <v>1.6</v>
      </c>
      <c r="C2" s="1" t="s">
        <v>5</v>
      </c>
      <c r="D2" s="2">
        <v>0.40300000000000002</v>
      </c>
      <c r="E2" s="1" t="s">
        <v>6</v>
      </c>
      <c r="F2" s="2">
        <v>11.200000000000001</v>
      </c>
      <c r="G2" s="1" t="s">
        <v>7</v>
      </c>
      <c r="H2" s="32">
        <v>7.5999999999999998E-2</v>
      </c>
      <c r="I2" s="22"/>
      <c r="J2" s="13">
        <v>0.14512152166255723</v>
      </c>
      <c r="K2" s="8">
        <v>6.7490826489603362E-2</v>
      </c>
      <c r="L2" s="8"/>
      <c r="M2" s="7"/>
      <c r="N2" s="7"/>
      <c r="O2" s="14" t="s">
        <v>58</v>
      </c>
      <c r="Q2" s="13">
        <v>0.14512152166255723</v>
      </c>
      <c r="R2" s="8">
        <v>0.72179397585646132</v>
      </c>
      <c r="S2" s="8">
        <v>6.7490826489603362E-2</v>
      </c>
      <c r="T2" s="7"/>
      <c r="U2" s="7"/>
      <c r="V2" s="14" t="s">
        <v>58</v>
      </c>
    </row>
    <row r="3" spans="1:22" ht="14.25" thickTop="1" x14ac:dyDescent="0.15">
      <c r="A3" s="7" t="s">
        <v>8</v>
      </c>
      <c r="B3" s="7">
        <v>4.8000000000000007</v>
      </c>
      <c r="C3" s="7" t="s">
        <v>9</v>
      </c>
      <c r="D3" s="7">
        <v>0.41199999999999998</v>
      </c>
      <c r="E3" s="7">
        <v>9.4924800000000022</v>
      </c>
      <c r="F3" s="7" t="s">
        <v>3</v>
      </c>
      <c r="G3" s="7">
        <v>8.1000000000000003E-2</v>
      </c>
      <c r="H3" s="22"/>
      <c r="I3" s="22"/>
      <c r="J3" s="15" t="s">
        <v>32</v>
      </c>
      <c r="K3" s="7">
        <v>4.6000000000000005</v>
      </c>
      <c r="L3" s="16" t="s">
        <v>33</v>
      </c>
      <c r="M3" s="8">
        <v>0.45557932351473274</v>
      </c>
      <c r="N3" s="7" t="s">
        <v>34</v>
      </c>
      <c r="O3" s="17">
        <v>0.47380509560890766</v>
      </c>
      <c r="Q3" s="15" t="s">
        <v>32</v>
      </c>
      <c r="R3" s="7">
        <v>4.6000000000000005</v>
      </c>
      <c r="S3" s="16" t="s">
        <v>33</v>
      </c>
      <c r="T3" s="8">
        <v>0.36920809279709643</v>
      </c>
      <c r="U3" s="7" t="s">
        <v>34</v>
      </c>
      <c r="V3" s="17">
        <v>0.39043808161188481</v>
      </c>
    </row>
    <row r="4" spans="1:22" x14ac:dyDescent="0.15">
      <c r="A4" s="7" t="s">
        <v>11</v>
      </c>
      <c r="B4" s="7">
        <v>3.2000000000000006</v>
      </c>
      <c r="C4" s="7" t="s">
        <v>12</v>
      </c>
      <c r="D4" s="7">
        <v>0.40300000000000002</v>
      </c>
      <c r="E4" s="7">
        <v>4.1267200000000015</v>
      </c>
      <c r="F4" s="7" t="s">
        <v>7</v>
      </c>
      <c r="G4" s="7">
        <v>7.5999999999999998E-2</v>
      </c>
      <c r="H4" s="22"/>
      <c r="I4" s="22"/>
      <c r="J4" s="15" t="s">
        <v>35</v>
      </c>
      <c r="K4" s="7">
        <v>2.8000000000000007</v>
      </c>
      <c r="L4" s="16" t="s">
        <v>36</v>
      </c>
      <c r="M4" s="8">
        <v>0.33409583583344671</v>
      </c>
      <c r="N4" s="7" t="s">
        <v>37</v>
      </c>
      <c r="O4" s="17">
        <v>0.58045359723040901</v>
      </c>
      <c r="Q4" s="15" t="s">
        <v>35</v>
      </c>
      <c r="R4" s="7">
        <v>2.8000000000000007</v>
      </c>
      <c r="S4" s="16" t="s">
        <v>36</v>
      </c>
      <c r="T4" s="8">
        <v>0.28152204322271157</v>
      </c>
      <c r="U4" s="7" t="s">
        <v>37</v>
      </c>
      <c r="V4" s="17">
        <v>0.49971527286392292</v>
      </c>
    </row>
    <row r="5" spans="1:22" x14ac:dyDescent="0.15">
      <c r="A5" s="7" t="s">
        <v>14</v>
      </c>
      <c r="B5" s="7">
        <v>1.6000000000000005</v>
      </c>
      <c r="C5" s="7" t="s">
        <v>15</v>
      </c>
      <c r="D5" s="7">
        <v>0.40300000000000002</v>
      </c>
      <c r="E5" s="7">
        <v>1.0316800000000008</v>
      </c>
      <c r="F5" s="7" t="s">
        <v>52</v>
      </c>
      <c r="G5" s="7">
        <v>7.5999999999999998E-2</v>
      </c>
      <c r="H5" s="22"/>
      <c r="I5" s="22"/>
      <c r="J5" s="15" t="s">
        <v>38</v>
      </c>
      <c r="K5" s="7">
        <v>1.5000000000000007</v>
      </c>
      <c r="L5" s="16" t="s">
        <v>39</v>
      </c>
      <c r="M5" s="8">
        <v>0.2463577613969623</v>
      </c>
      <c r="N5" s="7" t="s">
        <v>40</v>
      </c>
      <c r="O5" s="17">
        <v>0.43434148108178716</v>
      </c>
      <c r="Q5" s="15" t="s">
        <v>38</v>
      </c>
      <c r="R5" s="7">
        <v>1.5000000000000007</v>
      </c>
      <c r="S5" s="16" t="s">
        <v>39</v>
      </c>
      <c r="T5" s="8">
        <v>0.21819322964121135</v>
      </c>
      <c r="U5" s="7" t="s">
        <v>40</v>
      </c>
      <c r="V5" s="17">
        <v>0.40797947935840423</v>
      </c>
    </row>
    <row r="6" spans="1:22" ht="14.25" thickBot="1" x14ac:dyDescent="0.2">
      <c r="A6" s="7" t="s">
        <v>17</v>
      </c>
      <c r="B6" s="7">
        <v>4.4408920985006262E-16</v>
      </c>
      <c r="C6" s="7" t="s">
        <v>18</v>
      </c>
      <c r="D6" s="7">
        <v>0.40300000000000002</v>
      </c>
      <c r="E6" s="7">
        <v>7.9477736201016944E-32</v>
      </c>
      <c r="F6" s="7" t="s">
        <v>53</v>
      </c>
      <c r="G6" s="7">
        <v>7.5999999999999998E-2</v>
      </c>
      <c r="H6" s="22"/>
      <c r="I6" s="22"/>
      <c r="J6" s="15" t="s">
        <v>41</v>
      </c>
      <c r="K6" s="7">
        <v>-0.29999999999999938</v>
      </c>
      <c r="L6" s="16" t="s">
        <v>42</v>
      </c>
      <c r="M6" s="8">
        <v>0.12487427371567628</v>
      </c>
      <c r="N6" s="7"/>
      <c r="O6" s="9"/>
      <c r="Q6" s="15" t="s">
        <v>41</v>
      </c>
      <c r="R6" s="7">
        <v>-0.29999999999999938</v>
      </c>
      <c r="S6" s="16" t="s">
        <v>42</v>
      </c>
      <c r="T6" s="8">
        <v>0.13050718006682646</v>
      </c>
      <c r="U6" s="7"/>
      <c r="V6" s="9"/>
    </row>
    <row r="7" spans="1:22" ht="15" thickTop="1" thickBot="1" x14ac:dyDescent="0.2">
      <c r="A7" s="7" t="s">
        <v>20</v>
      </c>
      <c r="B7" s="7">
        <v>-1.5999999999999996</v>
      </c>
      <c r="C7" s="7" t="s">
        <v>21</v>
      </c>
      <c r="D7" s="7">
        <v>0.40300000000000002</v>
      </c>
      <c r="E7" s="7">
        <v>1.0316799999999995</v>
      </c>
      <c r="F7" s="7" t="s">
        <v>54</v>
      </c>
      <c r="G7" s="7">
        <v>7.5999999999999998E-2</v>
      </c>
      <c r="H7" s="22"/>
      <c r="I7" s="36" t="s">
        <v>57</v>
      </c>
      <c r="J7" s="15" t="s">
        <v>43</v>
      </c>
      <c r="K7" s="7">
        <v>-1.5999999999999994</v>
      </c>
      <c r="L7" s="16" t="s">
        <v>44</v>
      </c>
      <c r="M7" s="8">
        <v>3.71361992791919E-2</v>
      </c>
      <c r="N7" s="7" t="s">
        <v>47</v>
      </c>
      <c r="O7" s="9">
        <v>0.58050000000000002</v>
      </c>
      <c r="P7" s="36" t="s">
        <v>57</v>
      </c>
      <c r="Q7" s="15" t="s">
        <v>43</v>
      </c>
      <c r="R7" s="7">
        <v>-1.5999999999999994</v>
      </c>
      <c r="S7" s="16" t="s">
        <v>44</v>
      </c>
      <c r="T7" s="8">
        <v>6.7178366485326241E-2</v>
      </c>
      <c r="U7" s="7" t="s">
        <v>47</v>
      </c>
      <c r="V7" s="9">
        <v>0.49969999999999998</v>
      </c>
    </row>
    <row r="8" spans="1:22" ht="15" thickTop="1" thickBot="1" x14ac:dyDescent="0.2">
      <c r="A8" s="7" t="s">
        <v>23</v>
      </c>
      <c r="B8" s="7">
        <v>-3.1999999999999997</v>
      </c>
      <c r="C8" s="7" t="s">
        <v>24</v>
      </c>
      <c r="D8" s="7">
        <v>0.40300000000000002</v>
      </c>
      <c r="E8" s="7">
        <v>4.1267199999999997</v>
      </c>
      <c r="F8" s="7" t="s">
        <v>55</v>
      </c>
      <c r="G8" s="7">
        <v>7.5999999999999998E-2</v>
      </c>
      <c r="H8" s="22"/>
      <c r="I8" s="37">
        <v>1</v>
      </c>
      <c r="J8" s="15" t="s">
        <v>45</v>
      </c>
      <c r="K8" s="7">
        <v>-3.3999999999999995</v>
      </c>
      <c r="L8" s="16" t="s">
        <v>46</v>
      </c>
      <c r="M8" s="8">
        <v>-8.4347288402094156E-2</v>
      </c>
      <c r="N8" s="7"/>
      <c r="O8" s="9"/>
      <c r="P8" s="38">
        <v>1</v>
      </c>
      <c r="Q8" s="15" t="s">
        <v>45</v>
      </c>
      <c r="R8" s="7">
        <v>-3.3999999999999995</v>
      </c>
      <c r="S8" s="16" t="s">
        <v>46</v>
      </c>
      <c r="T8" s="8">
        <v>-2.0507683089058648E-2</v>
      </c>
      <c r="U8" s="7"/>
      <c r="V8" s="9"/>
    </row>
    <row r="9" spans="1:22" ht="14.25" thickTop="1" x14ac:dyDescent="0.15">
      <c r="A9" s="7" t="s">
        <v>26</v>
      </c>
      <c r="B9" s="7">
        <v>-4.8</v>
      </c>
      <c r="C9" s="7" t="s">
        <v>27</v>
      </c>
      <c r="D9" s="7">
        <v>0.41199999999999998</v>
      </c>
      <c r="E9" s="7">
        <v>9.4924799999999987</v>
      </c>
      <c r="F9" s="7" t="s">
        <v>56</v>
      </c>
      <c r="G9" s="7">
        <v>8.1000000000000003E-2</v>
      </c>
      <c r="H9" s="22"/>
      <c r="I9" s="22"/>
      <c r="J9" s="7"/>
      <c r="K9" s="7"/>
      <c r="L9" s="7"/>
      <c r="M9" s="7"/>
      <c r="N9" s="7"/>
      <c r="O9" s="8"/>
      <c r="Q9" s="15"/>
      <c r="R9" s="7"/>
      <c r="S9" s="7"/>
      <c r="T9" s="7"/>
      <c r="U9" s="7"/>
      <c r="V9" s="17"/>
    </row>
    <row r="10" spans="1:22" x14ac:dyDescent="0.15">
      <c r="A10" s="7"/>
      <c r="B10" s="7"/>
      <c r="C10" s="7"/>
      <c r="D10" s="7">
        <v>2.839</v>
      </c>
      <c r="E10" s="7">
        <v>29.301760000000002</v>
      </c>
      <c r="F10" s="7"/>
      <c r="G10" s="7">
        <v>0.54200000000000004</v>
      </c>
      <c r="H10" s="22"/>
      <c r="I10" s="22"/>
      <c r="J10" s="7"/>
      <c r="K10" s="7"/>
      <c r="L10" s="7"/>
      <c r="M10" s="7"/>
      <c r="N10" s="33"/>
      <c r="O10" s="33"/>
      <c r="Q10" s="33"/>
      <c r="R10" s="33"/>
      <c r="S10" s="33"/>
      <c r="T10" s="33"/>
      <c r="U10" s="33"/>
      <c r="V10" s="33"/>
    </row>
    <row r="11" spans="1:22" x14ac:dyDescent="0.15">
      <c r="A11" s="7"/>
      <c r="B11" s="7"/>
      <c r="C11" s="7"/>
      <c r="D11" s="7"/>
      <c r="E11" s="7"/>
      <c r="F11" s="8"/>
      <c r="G11" s="7"/>
      <c r="H11" s="22"/>
      <c r="I11" s="25"/>
      <c r="J11" s="7"/>
      <c r="K11" s="7"/>
      <c r="L11" s="7"/>
      <c r="M11" s="7"/>
      <c r="N11" s="33"/>
      <c r="O11" s="33"/>
      <c r="Q11" s="33"/>
      <c r="R11" s="33"/>
      <c r="S11" s="33"/>
      <c r="T11" s="33"/>
      <c r="U11" s="33"/>
      <c r="V11" s="33"/>
    </row>
    <row r="12" spans="1:22" x14ac:dyDescent="0.15">
      <c r="A12" s="7"/>
      <c r="B12" s="7"/>
      <c r="C12" s="7"/>
      <c r="D12" s="7"/>
      <c r="E12" s="7"/>
      <c r="F12" s="7"/>
      <c r="G12" s="7"/>
      <c r="H12" s="22"/>
      <c r="I12" s="22"/>
      <c r="J12" s="7"/>
      <c r="K12" s="7"/>
      <c r="L12" s="7"/>
      <c r="M12" s="7"/>
      <c r="N12" s="33"/>
      <c r="O12" s="33"/>
      <c r="Q12" s="33"/>
      <c r="R12" s="33"/>
      <c r="S12" s="33"/>
      <c r="T12" s="33"/>
      <c r="U12" s="33"/>
      <c r="V12" s="33"/>
    </row>
    <row r="13" spans="1:22" x14ac:dyDescent="0.15">
      <c r="A13" s="33"/>
      <c r="B13" s="33"/>
      <c r="C13" s="33"/>
      <c r="D13" s="33"/>
      <c r="E13" s="33"/>
      <c r="F13" s="33"/>
      <c r="G13" s="7"/>
      <c r="J13" s="33"/>
      <c r="K13" s="33"/>
      <c r="L13" s="33"/>
      <c r="M13" s="33"/>
      <c r="N13" s="33"/>
      <c r="O13" s="33"/>
      <c r="Q13" s="33"/>
      <c r="R13" s="33"/>
      <c r="S13" s="33"/>
      <c r="T13" s="33"/>
      <c r="U13" s="33"/>
      <c r="V13" s="33"/>
    </row>
    <row r="14" spans="1:22" x14ac:dyDescent="0.15">
      <c r="A14" s="33"/>
      <c r="B14" s="33"/>
      <c r="C14" s="33"/>
      <c r="D14" s="33"/>
      <c r="E14" s="33"/>
      <c r="F14" s="33"/>
      <c r="G14" s="7"/>
      <c r="J14" s="33"/>
      <c r="K14" s="33"/>
      <c r="L14" s="33"/>
      <c r="M14" s="33"/>
      <c r="N14" s="33"/>
      <c r="O14" s="33"/>
      <c r="Q14" s="33"/>
      <c r="R14" s="33"/>
      <c r="S14" s="33"/>
      <c r="T14" s="33"/>
      <c r="U14" s="33"/>
      <c r="V14" s="33"/>
    </row>
    <row r="15" spans="1:22" x14ac:dyDescent="0.15">
      <c r="A15" s="33"/>
      <c r="B15" s="33"/>
      <c r="C15" s="33"/>
      <c r="D15" s="33"/>
      <c r="E15" s="33"/>
      <c r="F15" s="33"/>
      <c r="G15" s="7"/>
      <c r="J15" s="33"/>
      <c r="K15" s="33"/>
      <c r="L15" s="33"/>
      <c r="M15" s="33"/>
      <c r="N15" s="33"/>
      <c r="O15" s="33"/>
      <c r="Q15" s="33"/>
      <c r="R15" s="33"/>
      <c r="S15" s="33"/>
      <c r="T15" s="33"/>
      <c r="U15" s="33"/>
      <c r="V15" s="33"/>
    </row>
    <row r="16" spans="1:22" x14ac:dyDescent="0.15">
      <c r="A16" s="33"/>
      <c r="B16" s="33"/>
      <c r="C16" s="33"/>
      <c r="D16" s="33"/>
      <c r="E16" s="33"/>
      <c r="F16" s="33"/>
      <c r="G16" s="7"/>
      <c r="J16" s="33"/>
      <c r="K16" s="33"/>
      <c r="L16" s="33"/>
      <c r="M16" s="33"/>
      <c r="N16" s="33"/>
      <c r="O16" s="33"/>
      <c r="Q16" s="33"/>
      <c r="R16" s="33"/>
      <c r="S16" s="33"/>
      <c r="T16" s="33"/>
      <c r="U16" s="33"/>
      <c r="V16" s="33"/>
    </row>
    <row r="17" spans="1:22" x14ac:dyDescent="0.15">
      <c r="A17" s="33"/>
      <c r="B17" s="33"/>
      <c r="C17" s="33"/>
      <c r="D17" s="33"/>
      <c r="E17" s="33"/>
      <c r="F17" s="33"/>
      <c r="G17" s="7"/>
      <c r="J17" s="33"/>
      <c r="K17" s="33"/>
      <c r="L17" s="33"/>
      <c r="M17" s="33"/>
      <c r="N17" s="33"/>
      <c r="O17" s="33"/>
      <c r="Q17" s="33"/>
      <c r="R17" s="33"/>
      <c r="S17" s="33"/>
      <c r="T17" s="33"/>
      <c r="U17" s="33"/>
      <c r="V17" s="33"/>
    </row>
    <row r="18" spans="1:22" x14ac:dyDescent="0.15">
      <c r="A18" s="33"/>
      <c r="B18" s="33"/>
      <c r="C18" s="33"/>
      <c r="D18" s="33"/>
      <c r="E18" s="33"/>
      <c r="F18" s="33"/>
      <c r="G18" s="7"/>
      <c r="J18" s="33"/>
      <c r="K18" s="33"/>
      <c r="L18" s="33"/>
      <c r="M18" s="33"/>
      <c r="N18" s="33"/>
      <c r="O18" s="33"/>
      <c r="Q18" s="33"/>
      <c r="R18" s="33"/>
      <c r="S18" s="33"/>
      <c r="T18" s="33"/>
      <c r="U18" s="33"/>
      <c r="V18" s="33"/>
    </row>
    <row r="19" spans="1:22" x14ac:dyDescent="0.15">
      <c r="A19" s="33"/>
      <c r="B19" s="33"/>
      <c r="C19" s="33"/>
      <c r="D19" s="33"/>
      <c r="E19" s="33"/>
      <c r="F19" s="33"/>
      <c r="G19" s="7"/>
      <c r="J19" s="33"/>
      <c r="K19" s="33"/>
      <c r="L19" s="33"/>
      <c r="M19" s="33"/>
      <c r="N19" s="33"/>
      <c r="O19" s="33"/>
      <c r="Q19" s="33"/>
      <c r="R19" s="33"/>
      <c r="S19" s="33"/>
      <c r="T19" s="33"/>
      <c r="U19" s="33"/>
      <c r="V19" s="33"/>
    </row>
    <row r="20" spans="1:22" x14ac:dyDescent="0.15">
      <c r="A20" s="33"/>
      <c r="B20" s="33"/>
      <c r="C20" s="33"/>
      <c r="D20" s="33"/>
      <c r="E20" s="33"/>
      <c r="F20" s="33"/>
      <c r="G20" s="7"/>
      <c r="J20" s="33"/>
      <c r="K20" s="33"/>
      <c r="L20" s="33"/>
      <c r="M20" s="33"/>
      <c r="N20" s="33"/>
      <c r="O20" s="33"/>
      <c r="Q20" s="33"/>
      <c r="R20" s="33"/>
      <c r="S20" s="33"/>
      <c r="T20" s="33"/>
      <c r="U20" s="33"/>
      <c r="V20" s="33"/>
    </row>
    <row r="21" spans="1:22" x14ac:dyDescent="0.15">
      <c r="A21" s="33"/>
      <c r="B21" s="33"/>
      <c r="C21" s="33"/>
      <c r="D21" s="33"/>
      <c r="E21" s="33"/>
      <c r="F21" s="33"/>
      <c r="G21" s="7"/>
      <c r="J21" s="33"/>
      <c r="K21" s="33"/>
      <c r="L21" s="33"/>
      <c r="M21" s="33"/>
      <c r="N21" s="33"/>
      <c r="O21" s="33"/>
      <c r="Q21" s="33"/>
      <c r="R21" s="33"/>
      <c r="S21" s="33"/>
      <c r="T21" s="33"/>
      <c r="U21" s="33"/>
      <c r="V21" s="33"/>
    </row>
    <row r="22" spans="1:22" x14ac:dyDescent="0.15">
      <c r="A22" s="7"/>
      <c r="B22" s="7"/>
      <c r="C22" s="7"/>
      <c r="D22" s="7"/>
      <c r="E22" s="7"/>
      <c r="F22" s="7"/>
      <c r="G22" s="7"/>
      <c r="H22" s="23"/>
      <c r="I22" s="23"/>
      <c r="J22" s="7"/>
      <c r="K22" s="7"/>
      <c r="L22" s="7"/>
      <c r="M22" s="7"/>
      <c r="N22" s="33"/>
      <c r="O22" s="33"/>
      <c r="Q22" s="33"/>
      <c r="R22" s="33"/>
      <c r="S22" s="33"/>
      <c r="T22" s="33"/>
      <c r="U22" s="33"/>
      <c r="V22" s="33"/>
    </row>
    <row r="23" spans="1:22" x14ac:dyDescent="0.15">
      <c r="A23" s="8"/>
      <c r="B23" s="8"/>
      <c r="C23" s="8"/>
      <c r="D23" s="7"/>
      <c r="E23" s="7"/>
      <c r="F23" s="34"/>
      <c r="G23" s="7"/>
      <c r="H23" s="27"/>
      <c r="I23" s="27"/>
      <c r="J23" s="8"/>
      <c r="K23" s="7"/>
      <c r="L23" s="7"/>
      <c r="M23" s="34"/>
      <c r="N23" s="33"/>
      <c r="O23" s="33"/>
      <c r="Q23" s="33"/>
      <c r="R23" s="33"/>
      <c r="S23" s="33"/>
      <c r="T23" s="33"/>
      <c r="U23" s="33"/>
      <c r="V23" s="33"/>
    </row>
    <row r="24" spans="1:22" x14ac:dyDescent="0.15">
      <c r="A24" s="7"/>
      <c r="B24" s="7"/>
      <c r="C24" s="16"/>
      <c r="D24" s="8"/>
      <c r="E24" s="7"/>
      <c r="F24" s="8"/>
      <c r="G24" s="7"/>
      <c r="H24" s="23"/>
      <c r="I24" s="23"/>
      <c r="J24" s="16"/>
      <c r="K24" s="8"/>
      <c r="L24" s="7"/>
      <c r="M24" s="8"/>
      <c r="N24" s="33"/>
      <c r="O24" s="33"/>
      <c r="Q24" s="33"/>
      <c r="R24" s="33"/>
      <c r="S24" s="33"/>
      <c r="T24" s="33"/>
      <c r="U24" s="33"/>
      <c r="V24" s="33"/>
    </row>
    <row r="25" spans="1:22" x14ac:dyDescent="0.15">
      <c r="A25" s="7"/>
      <c r="B25" s="7"/>
      <c r="C25" s="16"/>
      <c r="D25" s="8"/>
      <c r="E25" s="7"/>
      <c r="F25" s="8"/>
      <c r="G25" s="7"/>
      <c r="H25" s="23"/>
      <c r="I25" s="23"/>
      <c r="J25" s="16"/>
      <c r="K25" s="8"/>
      <c r="L25" s="7"/>
      <c r="M25" s="8"/>
      <c r="N25" s="33"/>
      <c r="O25" s="33"/>
      <c r="Q25" s="33"/>
      <c r="R25" s="33"/>
      <c r="S25" s="33"/>
      <c r="T25" s="33"/>
      <c r="U25" s="33"/>
      <c r="V25" s="33"/>
    </row>
    <row r="26" spans="1:22" x14ac:dyDescent="0.15">
      <c r="A26" s="7"/>
      <c r="B26" s="7"/>
      <c r="C26" s="16"/>
      <c r="D26" s="8"/>
      <c r="E26" s="7"/>
      <c r="F26" s="8"/>
      <c r="G26" s="7"/>
      <c r="H26" s="23"/>
      <c r="I26" s="23"/>
      <c r="J26" s="28"/>
      <c r="K26" s="27"/>
      <c r="L26" s="23"/>
      <c r="M26" s="27"/>
    </row>
    <row r="27" spans="1:22" x14ac:dyDescent="0.15">
      <c r="A27" s="7"/>
      <c r="B27" s="7"/>
      <c r="C27" s="16"/>
      <c r="D27" s="8"/>
      <c r="E27" s="7"/>
      <c r="F27" s="7"/>
      <c r="G27" s="7"/>
      <c r="H27" s="23"/>
      <c r="I27" s="23"/>
      <c r="J27" s="28"/>
      <c r="K27" s="27"/>
      <c r="L27" s="23"/>
      <c r="M27" s="23"/>
    </row>
    <row r="28" spans="1:22" x14ac:dyDescent="0.15">
      <c r="A28" s="7"/>
      <c r="B28" s="7"/>
      <c r="C28" s="16"/>
      <c r="D28" s="8"/>
      <c r="E28" s="7"/>
      <c r="F28" s="7"/>
      <c r="G28" s="7"/>
      <c r="H28" s="23"/>
      <c r="I28" s="23"/>
      <c r="J28" s="28"/>
      <c r="K28" s="27"/>
      <c r="L28" s="23"/>
      <c r="M28" s="23"/>
    </row>
    <row r="29" spans="1:22" x14ac:dyDescent="0.15">
      <c r="A29" s="7"/>
      <c r="B29" s="7"/>
      <c r="C29" s="16"/>
      <c r="D29" s="8"/>
      <c r="E29" s="7"/>
      <c r="F29" s="7"/>
      <c r="G29" s="7"/>
      <c r="H29" s="23"/>
      <c r="I29" s="23"/>
      <c r="J29" s="28"/>
      <c r="K29" s="27"/>
      <c r="L29" s="23"/>
      <c r="M29" s="23"/>
    </row>
    <row r="30" spans="1:22" x14ac:dyDescent="0.15">
      <c r="A30" s="8"/>
      <c r="B30" s="8"/>
      <c r="C30" s="8"/>
      <c r="D30" s="7"/>
      <c r="E30" s="7"/>
      <c r="F30" s="8"/>
      <c r="G30" s="7"/>
      <c r="H30" s="27"/>
      <c r="I30" s="27"/>
      <c r="J30" s="27"/>
      <c r="K30" s="23"/>
      <c r="L30" s="23"/>
      <c r="M30" s="27"/>
    </row>
    <row r="31" spans="1:22" x14ac:dyDescent="0.15">
      <c r="A31" s="7"/>
      <c r="B31" s="7"/>
      <c r="C31" s="7"/>
      <c r="D31" s="7"/>
      <c r="E31" s="7"/>
      <c r="F31" s="7"/>
      <c r="G31" s="7"/>
      <c r="H31" s="23"/>
      <c r="I31" s="23"/>
      <c r="J31" s="23"/>
      <c r="K31" s="23"/>
      <c r="L31" s="23"/>
      <c r="M31" s="23"/>
    </row>
    <row r="32" spans="1:22" x14ac:dyDescent="0.15">
      <c r="A32" s="8"/>
      <c r="B32" s="8"/>
      <c r="C32" s="8"/>
      <c r="D32" s="7"/>
      <c r="E32" s="7"/>
      <c r="F32" s="35"/>
      <c r="G32" s="7"/>
      <c r="H32" s="27"/>
      <c r="I32" s="27"/>
      <c r="J32" s="27"/>
      <c r="K32" s="23"/>
      <c r="L32" s="23"/>
      <c r="M32" s="29"/>
    </row>
    <row r="33" spans="1:13" x14ac:dyDescent="0.15">
      <c r="A33" s="7"/>
      <c r="B33" s="7"/>
      <c r="C33" s="16"/>
      <c r="D33" s="8"/>
      <c r="E33" s="7"/>
      <c r="F33" s="8"/>
      <c r="G33" s="7"/>
      <c r="H33" s="23"/>
      <c r="I33" s="23"/>
      <c r="J33" s="28"/>
      <c r="K33" s="27"/>
      <c r="L33" s="23"/>
      <c r="M33" s="27"/>
    </row>
    <row r="34" spans="1:13" x14ac:dyDescent="0.15">
      <c r="A34" s="7"/>
      <c r="B34" s="7"/>
      <c r="C34" s="16"/>
      <c r="D34" s="8"/>
      <c r="E34" s="7"/>
      <c r="F34" s="8"/>
      <c r="G34" s="7"/>
      <c r="H34" s="23"/>
      <c r="I34" s="23"/>
      <c r="J34" s="28"/>
      <c r="K34" s="27"/>
      <c r="L34" s="23"/>
      <c r="M34" s="27"/>
    </row>
    <row r="35" spans="1:13" x14ac:dyDescent="0.15">
      <c r="A35" s="7"/>
      <c r="B35" s="7"/>
      <c r="C35" s="16"/>
      <c r="D35" s="8"/>
      <c r="E35" s="7"/>
      <c r="F35" s="8"/>
      <c r="G35" s="7"/>
      <c r="H35" s="23"/>
      <c r="I35" s="23"/>
      <c r="J35" s="28"/>
      <c r="K35" s="27"/>
      <c r="L35" s="23"/>
      <c r="M35" s="27"/>
    </row>
    <row r="36" spans="1:13" x14ac:dyDescent="0.15">
      <c r="A36" s="7"/>
      <c r="B36" s="7"/>
      <c r="C36" s="16"/>
      <c r="D36" s="8"/>
      <c r="E36" s="7"/>
      <c r="F36" s="7"/>
      <c r="G36" s="7"/>
      <c r="H36" s="23"/>
      <c r="I36" s="23"/>
      <c r="J36" s="28"/>
      <c r="K36" s="27"/>
      <c r="L36" s="23"/>
      <c r="M36" s="23"/>
    </row>
    <row r="37" spans="1:13" x14ac:dyDescent="0.15">
      <c r="A37" s="7"/>
      <c r="B37" s="7"/>
      <c r="C37" s="16"/>
      <c r="D37" s="8"/>
      <c r="E37" s="7"/>
      <c r="F37" s="7"/>
      <c r="G37" s="7"/>
      <c r="H37" s="23"/>
      <c r="I37" s="23"/>
      <c r="J37" s="28"/>
      <c r="K37" s="27"/>
      <c r="L37" s="23"/>
      <c r="M37" s="23"/>
    </row>
    <row r="38" spans="1:13" x14ac:dyDescent="0.15">
      <c r="A38" s="7"/>
      <c r="B38" s="7"/>
      <c r="C38" s="16"/>
      <c r="D38" s="8"/>
      <c r="E38" s="7"/>
      <c r="F38" s="7"/>
      <c r="G38" s="7"/>
      <c r="H38" s="23"/>
      <c r="I38" s="23"/>
      <c r="J38" s="28"/>
      <c r="K38" s="27"/>
      <c r="L38" s="23"/>
      <c r="M38" s="23"/>
    </row>
    <row r="39" spans="1:13" x14ac:dyDescent="0.15">
      <c r="A39" s="7"/>
      <c r="B39" s="7"/>
      <c r="C39" s="7"/>
      <c r="D39" s="7"/>
      <c r="E39" s="7"/>
      <c r="F39" s="8"/>
      <c r="G39" s="7"/>
      <c r="H39" s="23"/>
      <c r="I39" s="23"/>
      <c r="J39" s="23"/>
      <c r="K39" s="23"/>
      <c r="L39" s="23"/>
      <c r="M39" s="27"/>
    </row>
    <row r="40" spans="1:13" x14ac:dyDescent="0.15">
      <c r="A40" s="33"/>
      <c r="B40" s="33"/>
      <c r="C40" s="33"/>
      <c r="D40" s="33"/>
      <c r="E40" s="33"/>
      <c r="F40" s="33"/>
      <c r="G40" s="33"/>
      <c r="H40" s="30"/>
      <c r="I40" s="30"/>
      <c r="J40" s="30"/>
      <c r="K40" s="30"/>
      <c r="L40" s="30"/>
      <c r="M40" s="30"/>
    </row>
    <row r="41" spans="1:13" x14ac:dyDescent="0.15">
      <c r="A41" s="33"/>
      <c r="B41" s="33"/>
      <c r="C41" s="33"/>
      <c r="D41" s="33"/>
      <c r="E41" s="33"/>
      <c r="F41" s="33"/>
      <c r="G41" s="33"/>
      <c r="H41" s="30"/>
      <c r="I41" s="30"/>
      <c r="J41" s="30"/>
      <c r="K41" s="30"/>
      <c r="L41" s="30"/>
      <c r="M41" s="30"/>
    </row>
    <row r="42" spans="1:13" x14ac:dyDescent="0.15">
      <c r="A42" s="33"/>
      <c r="B42" s="33"/>
      <c r="C42" s="33"/>
      <c r="D42" s="33"/>
      <c r="E42" s="33"/>
      <c r="F42" s="33"/>
      <c r="G42" s="33"/>
    </row>
    <row r="43" spans="1:13" x14ac:dyDescent="0.15">
      <c r="A43" s="33"/>
      <c r="B43" s="33"/>
      <c r="C43" s="33"/>
      <c r="D43" s="33"/>
      <c r="E43" s="33"/>
      <c r="F43" s="33"/>
      <c r="G43" s="33"/>
    </row>
    <row r="44" spans="1:13" x14ac:dyDescent="0.15">
      <c r="A44" s="33"/>
      <c r="B44" s="33"/>
      <c r="C44" s="33"/>
      <c r="D44" s="33"/>
      <c r="E44" s="33"/>
      <c r="F44" s="33"/>
      <c r="G44" s="33"/>
    </row>
    <row r="45" spans="1:13" x14ac:dyDescent="0.15">
      <c r="A45" s="33"/>
      <c r="B45" s="33"/>
      <c r="C45" s="33"/>
      <c r="D45" s="33"/>
      <c r="E45" s="33"/>
      <c r="F45" s="33"/>
      <c r="G45" s="33"/>
    </row>
    <row r="46" spans="1:13" x14ac:dyDescent="0.15">
      <c r="A46" s="33"/>
      <c r="B46" s="33"/>
      <c r="C46" s="33"/>
      <c r="D46" s="33"/>
      <c r="E46" s="33"/>
      <c r="F46" s="33"/>
      <c r="G46" s="33"/>
    </row>
    <row r="47" spans="1:13" x14ac:dyDescent="0.15">
      <c r="A47" s="33"/>
      <c r="B47" s="33"/>
      <c r="C47" s="33"/>
      <c r="D47" s="33"/>
      <c r="E47" s="33"/>
      <c r="F47" s="33"/>
      <c r="G47" s="33"/>
    </row>
    <row r="48" spans="1:13" x14ac:dyDescent="0.15">
      <c r="A48" s="30"/>
      <c r="B48" s="30"/>
      <c r="C48" s="30"/>
      <c r="D48" s="30"/>
      <c r="E48" s="30"/>
      <c r="F48" s="30"/>
      <c r="G48" s="30"/>
    </row>
    <row r="49" spans="1:7" x14ac:dyDescent="0.15">
      <c r="A49" s="30"/>
      <c r="B49" s="30"/>
      <c r="C49" s="30"/>
      <c r="D49" s="30"/>
      <c r="E49" s="30"/>
      <c r="F49" s="30"/>
      <c r="G49" s="30"/>
    </row>
    <row r="50" spans="1:7" x14ac:dyDescent="0.15">
      <c r="A50" s="30"/>
      <c r="B50" s="30"/>
      <c r="C50" s="30"/>
      <c r="D50" s="30"/>
      <c r="E50" s="30"/>
      <c r="F50" s="30"/>
      <c r="G50" s="30"/>
    </row>
    <row r="51" spans="1:7" x14ac:dyDescent="0.15">
      <c r="A51" s="30"/>
      <c r="B51" s="30"/>
      <c r="C51" s="30"/>
      <c r="D51" s="30"/>
      <c r="E51" s="30"/>
      <c r="F51" s="30"/>
      <c r="G51" s="30"/>
    </row>
    <row r="52" spans="1:7" x14ac:dyDescent="0.15">
      <c r="A52" s="30"/>
      <c r="B52" s="30"/>
      <c r="C52" s="30"/>
      <c r="D52" s="30"/>
      <c r="E52" s="30"/>
      <c r="F52" s="30"/>
      <c r="G52" s="30"/>
    </row>
    <row r="53" spans="1:7" x14ac:dyDescent="0.15">
      <c r="A53" s="30"/>
      <c r="B53" s="30"/>
      <c r="C53" s="30"/>
      <c r="D53" s="30"/>
      <c r="E53" s="30"/>
      <c r="F53" s="30"/>
      <c r="G53" s="30"/>
    </row>
    <row r="54" spans="1:7" x14ac:dyDescent="0.15">
      <c r="A54" s="30"/>
      <c r="B54" s="30"/>
      <c r="C54" s="30"/>
      <c r="D54" s="30"/>
      <c r="E54" s="30"/>
      <c r="F54" s="30"/>
      <c r="G54" s="30"/>
    </row>
    <row r="55" spans="1:7" x14ac:dyDescent="0.15">
      <c r="A55" s="30"/>
      <c r="B55" s="30"/>
      <c r="C55" s="30"/>
      <c r="D55" s="30"/>
      <c r="E55" s="30"/>
      <c r="F55" s="30"/>
      <c r="G55" s="30"/>
    </row>
    <row r="56" spans="1:7" x14ac:dyDescent="0.15">
      <c r="A56" s="30"/>
      <c r="B56" s="30"/>
      <c r="C56" s="30"/>
      <c r="D56" s="30"/>
      <c r="E56" s="30"/>
      <c r="F56" s="30"/>
      <c r="G56" s="30"/>
    </row>
    <row r="57" spans="1:7" x14ac:dyDescent="0.15">
      <c r="A57" s="30"/>
      <c r="B57" s="30"/>
      <c r="C57" s="30"/>
      <c r="D57" s="30"/>
      <c r="E57" s="30"/>
      <c r="F57" s="30"/>
      <c r="G57" s="30"/>
    </row>
    <row r="58" spans="1:7" x14ac:dyDescent="0.15">
      <c r="A58" s="30"/>
      <c r="B58" s="30"/>
      <c r="C58" s="30"/>
      <c r="D58" s="30"/>
      <c r="E58" s="30"/>
      <c r="F58" s="30"/>
      <c r="G58" s="30"/>
    </row>
    <row r="59" spans="1:7" x14ac:dyDescent="0.15">
      <c r="A59" s="30"/>
      <c r="B59" s="30"/>
      <c r="C59" s="30"/>
      <c r="D59" s="30"/>
      <c r="E59" s="30"/>
      <c r="F59" s="30"/>
      <c r="G59" s="30"/>
    </row>
    <row r="60" spans="1:7" x14ac:dyDescent="0.15">
      <c r="A60" s="30"/>
      <c r="B60" s="30"/>
      <c r="C60" s="30"/>
      <c r="D60" s="30"/>
      <c r="E60" s="30"/>
      <c r="F60" s="30"/>
      <c r="G60" s="30"/>
    </row>
    <row r="61" spans="1:7" x14ac:dyDescent="0.15">
      <c r="A61" s="30"/>
      <c r="B61" s="30"/>
      <c r="C61" s="30"/>
      <c r="D61" s="30"/>
      <c r="E61" s="30"/>
      <c r="F61" s="30"/>
      <c r="G61" s="30"/>
    </row>
    <row r="62" spans="1:7" x14ac:dyDescent="0.15">
      <c r="A62" s="30"/>
      <c r="B62" s="30"/>
      <c r="C62" s="30"/>
      <c r="D62" s="30"/>
      <c r="E62" s="30"/>
      <c r="F62" s="30"/>
      <c r="G62" s="30"/>
    </row>
    <row r="63" spans="1:7" x14ac:dyDescent="0.15">
      <c r="A63" s="30"/>
      <c r="B63" s="30"/>
      <c r="C63" s="30"/>
      <c r="D63" s="30"/>
      <c r="E63" s="30"/>
      <c r="F63" s="30"/>
      <c r="G63" s="30"/>
    </row>
    <row r="64" spans="1:7" x14ac:dyDescent="0.15">
      <c r="A64" s="30"/>
      <c r="B64" s="30"/>
      <c r="C64" s="30"/>
      <c r="D64" s="30"/>
      <c r="E64" s="30"/>
      <c r="F64" s="30"/>
      <c r="G64" s="30"/>
    </row>
    <row r="65" spans="1:7" x14ac:dyDescent="0.15">
      <c r="A65" s="30"/>
      <c r="B65" s="30"/>
      <c r="C65" s="30"/>
      <c r="D65" s="30"/>
      <c r="E65" s="30"/>
      <c r="F65" s="30"/>
      <c r="G65" s="30"/>
    </row>
    <row r="66" spans="1:7" x14ac:dyDescent="0.15">
      <c r="A66" s="30"/>
      <c r="B66" s="30"/>
      <c r="C66" s="30"/>
      <c r="D66" s="30"/>
      <c r="E66" s="30"/>
      <c r="F66" s="30"/>
      <c r="G66" s="30"/>
    </row>
    <row r="67" spans="1:7" x14ac:dyDescent="0.15">
      <c r="A67" s="30"/>
      <c r="B67" s="30"/>
      <c r="C67" s="30"/>
      <c r="D67" s="30"/>
      <c r="E67" s="30"/>
      <c r="F67" s="30"/>
      <c r="G67" s="30"/>
    </row>
    <row r="68" spans="1:7" x14ac:dyDescent="0.15">
      <c r="A68" s="30"/>
      <c r="B68" s="30"/>
      <c r="C68" s="30"/>
      <c r="D68" s="30"/>
      <c r="E68" s="30"/>
      <c r="F68" s="30"/>
      <c r="G68" s="30"/>
    </row>
    <row r="69" spans="1:7" x14ac:dyDescent="0.15">
      <c r="A69" s="30"/>
      <c r="B69" s="30"/>
      <c r="C69" s="30"/>
      <c r="D69" s="30"/>
      <c r="E69" s="30"/>
      <c r="F69" s="30"/>
      <c r="G69" s="30"/>
    </row>
    <row r="70" spans="1:7" x14ac:dyDescent="0.15">
      <c r="A70" s="30"/>
      <c r="B70" s="30"/>
      <c r="C70" s="30"/>
      <c r="D70" s="30"/>
      <c r="E70" s="30"/>
      <c r="F70" s="30"/>
      <c r="G70" s="30"/>
    </row>
    <row r="71" spans="1:7" x14ac:dyDescent="0.15">
      <c r="A71" s="30"/>
      <c r="B71" s="30"/>
      <c r="C71" s="30"/>
      <c r="D71" s="30"/>
      <c r="E71" s="30"/>
      <c r="F71" s="30"/>
      <c r="G71" s="30"/>
    </row>
    <row r="72" spans="1:7" x14ac:dyDescent="0.15">
      <c r="A72" s="30"/>
      <c r="B72" s="30"/>
      <c r="C72" s="30"/>
      <c r="D72" s="30"/>
      <c r="E72" s="30"/>
      <c r="F72" s="30"/>
      <c r="G72" s="30"/>
    </row>
    <row r="73" spans="1:7" x14ac:dyDescent="0.15">
      <c r="A73" s="30"/>
      <c r="B73" s="30"/>
      <c r="C73" s="30"/>
      <c r="D73" s="30"/>
      <c r="E73" s="30"/>
      <c r="F73" s="30"/>
      <c r="G73" s="30"/>
    </row>
    <row r="74" spans="1:7" x14ac:dyDescent="0.15">
      <c r="A74" s="30"/>
      <c r="B74" s="30"/>
      <c r="C74" s="30"/>
      <c r="D74" s="30"/>
      <c r="E74" s="30"/>
      <c r="F74" s="30"/>
      <c r="G74" s="30"/>
    </row>
    <row r="75" spans="1:7" x14ac:dyDescent="0.15">
      <c r="A75" s="30"/>
      <c r="B75" s="30"/>
      <c r="C75" s="30"/>
      <c r="D75" s="30"/>
      <c r="E75" s="30"/>
      <c r="F75" s="30"/>
      <c r="G75" s="30"/>
    </row>
    <row r="76" spans="1:7" x14ac:dyDescent="0.15">
      <c r="A76" s="30"/>
      <c r="B76" s="30"/>
      <c r="C76" s="30"/>
      <c r="D76" s="30"/>
      <c r="E76" s="30"/>
      <c r="F76" s="30"/>
      <c r="G76" s="30"/>
    </row>
    <row r="77" spans="1:7" x14ac:dyDescent="0.15">
      <c r="A77" s="30"/>
      <c r="B77" s="30"/>
      <c r="C77" s="30"/>
      <c r="D77" s="30"/>
      <c r="E77" s="30"/>
      <c r="F77" s="30"/>
      <c r="G77" s="30"/>
    </row>
    <row r="78" spans="1:7" x14ac:dyDescent="0.15">
      <c r="A78" s="30"/>
      <c r="B78" s="30"/>
      <c r="C78" s="30"/>
      <c r="D78" s="30"/>
      <c r="E78" s="30"/>
      <c r="F78" s="30"/>
      <c r="G78" s="30"/>
    </row>
    <row r="79" spans="1:7" x14ac:dyDescent="0.15">
      <c r="A79" s="30"/>
      <c r="B79" s="30"/>
      <c r="C79" s="30"/>
      <c r="D79" s="30"/>
      <c r="E79" s="30"/>
      <c r="F79" s="30"/>
      <c r="G79" s="30"/>
    </row>
    <row r="80" spans="1:7" x14ac:dyDescent="0.15">
      <c r="A80" s="30"/>
      <c r="B80" s="30"/>
      <c r="C80" s="30"/>
      <c r="D80" s="30"/>
      <c r="E80" s="30"/>
      <c r="F80" s="30"/>
      <c r="G80" s="30"/>
    </row>
    <row r="81" spans="1:7" x14ac:dyDescent="0.15">
      <c r="A81" s="30"/>
      <c r="B81" s="30"/>
      <c r="C81" s="30"/>
      <c r="D81" s="30"/>
      <c r="E81" s="30"/>
      <c r="F81" s="30"/>
      <c r="G81" s="30"/>
    </row>
    <row r="82" spans="1:7" x14ac:dyDescent="0.15">
      <c r="A82" s="30"/>
      <c r="B82" s="30"/>
      <c r="C82" s="30"/>
      <c r="D82" s="30"/>
      <c r="E82" s="30"/>
      <c r="F82" s="30"/>
      <c r="G82" s="30"/>
    </row>
    <row r="83" spans="1:7" x14ac:dyDescent="0.15">
      <c r="A83" s="30"/>
      <c r="B83" s="30"/>
      <c r="C83" s="30"/>
      <c r="D83" s="30"/>
      <c r="E83" s="30"/>
      <c r="F83" s="30"/>
      <c r="G83" s="30"/>
    </row>
    <row r="84" spans="1:7" x14ac:dyDescent="0.15">
      <c r="A84" s="30"/>
      <c r="B84" s="30"/>
      <c r="C84" s="30"/>
      <c r="D84" s="30"/>
      <c r="E84" s="30"/>
      <c r="F84" s="30"/>
      <c r="G84" s="30"/>
    </row>
    <row r="85" spans="1:7" x14ac:dyDescent="0.15">
      <c r="A85" s="30"/>
      <c r="B85" s="30"/>
      <c r="C85" s="30"/>
      <c r="D85" s="30"/>
      <c r="E85" s="30"/>
      <c r="F85" s="30"/>
      <c r="G85" s="30"/>
    </row>
    <row r="86" spans="1:7" x14ac:dyDescent="0.15">
      <c r="A86" s="30"/>
      <c r="B86" s="30"/>
      <c r="C86" s="30"/>
      <c r="D86" s="30"/>
      <c r="E86" s="30"/>
      <c r="F86" s="30"/>
      <c r="G86" s="30"/>
    </row>
    <row r="87" spans="1:7" x14ac:dyDescent="0.15">
      <c r="A87" s="30"/>
      <c r="B87" s="30"/>
      <c r="C87" s="30"/>
      <c r="D87" s="30"/>
      <c r="E87" s="30"/>
      <c r="F87" s="30"/>
      <c r="G87" s="30"/>
    </row>
    <row r="88" spans="1:7" x14ac:dyDescent="0.15">
      <c r="A88" s="30"/>
      <c r="B88" s="30"/>
      <c r="C88" s="30"/>
      <c r="D88" s="30"/>
      <c r="E88" s="30"/>
      <c r="F88" s="30"/>
      <c r="G88" s="30"/>
    </row>
    <row r="89" spans="1:7" x14ac:dyDescent="0.15">
      <c r="A89" s="30"/>
      <c r="B89" s="30"/>
      <c r="C89" s="30"/>
      <c r="D89" s="30"/>
      <c r="E89" s="30"/>
      <c r="F89" s="30"/>
      <c r="G89" s="30"/>
    </row>
    <row r="90" spans="1:7" x14ac:dyDescent="0.15">
      <c r="A90" s="30"/>
      <c r="B90" s="30"/>
      <c r="C90" s="30"/>
      <c r="D90" s="30"/>
      <c r="E90" s="30"/>
      <c r="F90" s="30"/>
      <c r="G90" s="30"/>
    </row>
    <row r="91" spans="1:7" x14ac:dyDescent="0.15">
      <c r="A91" s="30"/>
      <c r="B91" s="30"/>
      <c r="C91" s="30"/>
      <c r="D91" s="30"/>
      <c r="E91" s="30"/>
      <c r="F91" s="30"/>
      <c r="G91" s="30"/>
    </row>
    <row r="92" spans="1:7" x14ac:dyDescent="0.15">
      <c r="A92" s="30"/>
      <c r="B92" s="30"/>
      <c r="C92" s="30"/>
      <c r="D92" s="30"/>
      <c r="E92" s="30"/>
      <c r="F92" s="30"/>
      <c r="G92" s="30"/>
    </row>
    <row r="93" spans="1:7" x14ac:dyDescent="0.15">
      <c r="A93" s="30"/>
      <c r="B93" s="30"/>
      <c r="C93" s="30"/>
      <c r="D93" s="30"/>
      <c r="E93" s="30"/>
      <c r="F93" s="30"/>
      <c r="G93" s="30"/>
    </row>
    <row r="94" spans="1:7" x14ac:dyDescent="0.15">
      <c r="A94" s="30"/>
      <c r="B94" s="30"/>
      <c r="C94" s="30"/>
      <c r="D94" s="30"/>
      <c r="E94" s="30"/>
      <c r="F94" s="30"/>
      <c r="G94" s="30"/>
    </row>
    <row r="95" spans="1:7" x14ac:dyDescent="0.15">
      <c r="A95" s="30"/>
      <c r="B95" s="30"/>
      <c r="C95" s="30"/>
      <c r="D95" s="30"/>
      <c r="E95" s="30"/>
      <c r="F95" s="30"/>
      <c r="G95" s="30"/>
    </row>
    <row r="96" spans="1:7" x14ac:dyDescent="0.15">
      <c r="A96" s="30"/>
      <c r="B96" s="30"/>
      <c r="C96" s="30"/>
      <c r="D96" s="30"/>
      <c r="E96" s="30"/>
      <c r="F96" s="30"/>
      <c r="G96" s="30"/>
    </row>
    <row r="97" spans="1:7" x14ac:dyDescent="0.15">
      <c r="A97" s="30"/>
      <c r="B97" s="30"/>
      <c r="C97" s="30"/>
      <c r="D97" s="30"/>
      <c r="E97" s="30"/>
      <c r="F97" s="30"/>
      <c r="G97" s="30"/>
    </row>
    <row r="98" spans="1:7" x14ac:dyDescent="0.15">
      <c r="A98" s="30"/>
      <c r="B98" s="30"/>
      <c r="C98" s="30"/>
      <c r="D98" s="30"/>
      <c r="E98" s="30"/>
      <c r="F98" s="30"/>
      <c r="G98" s="30"/>
    </row>
    <row r="99" spans="1:7" x14ac:dyDescent="0.15">
      <c r="A99" s="30"/>
      <c r="B99" s="30"/>
      <c r="C99" s="30"/>
      <c r="D99" s="30"/>
      <c r="E99" s="30"/>
      <c r="F99" s="30"/>
      <c r="G99" s="30"/>
    </row>
    <row r="100" spans="1:7" x14ac:dyDescent="0.15">
      <c r="A100" s="30"/>
      <c r="B100" s="30"/>
      <c r="C100" s="30"/>
      <c r="D100" s="30"/>
      <c r="E100" s="30"/>
      <c r="F100" s="30"/>
      <c r="G100" s="30"/>
    </row>
  </sheetData>
  <mergeCells count="2">
    <mergeCell ref="J1:O1"/>
    <mergeCell ref="Q1:V1"/>
  </mergeCells>
  <phoneticPr fontId="5" type="noConversion"/>
  <pageMargins left="0.75" right="0.75" top="1" bottom="1" header="0.51180555555555596" footer="0.51180555555555596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按钮3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按钮8_Click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8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按钮10_Click">
                <anchor moveWithCells="1" sizeWithCells="1">
                  <from>
                    <xdr:col>8</xdr:col>
                    <xdr:colOff>190500</xdr:colOff>
                    <xdr:row>2</xdr:row>
                    <xdr:rowOff>0</xdr:rowOff>
                  </from>
                  <to>
                    <xdr:col>8</xdr:col>
                    <xdr:colOff>962025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按钮11_Click">
                <anchor moveWithCells="1" sizeWithCells="1">
                  <from>
                    <xdr:col>15</xdr:col>
                    <xdr:colOff>19050</xdr:colOff>
                    <xdr:row>0</xdr:row>
                    <xdr:rowOff>19050</xdr:rowOff>
                  </from>
                  <to>
                    <xdr:col>15</xdr:col>
                    <xdr:colOff>1047750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 macro="[0]!按钮12_Click">
                <anchor moveWithCells="1" sizeWithCells="1">
                  <from>
                    <xdr:col>15</xdr:col>
                    <xdr:colOff>19050</xdr:colOff>
                    <xdr:row>2</xdr:row>
                    <xdr:rowOff>9525</xdr:rowOff>
                  </from>
                  <to>
                    <xdr:col>15</xdr:col>
                    <xdr:colOff>1028700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8"/>
  <sheetViews>
    <sheetView workbookViewId="0">
      <selection activeCell="N19" sqref="N19"/>
    </sheetView>
  </sheetViews>
  <sheetFormatPr defaultColWidth="8.75" defaultRowHeight="13.5" x14ac:dyDescent="0.15"/>
  <cols>
    <col min="9" max="9" width="12.875"/>
    <col min="11" max="11" width="9.5"/>
  </cols>
  <sheetData>
    <row r="1" spans="1:13" x14ac:dyDescent="0.15">
      <c r="A1" s="1" t="s">
        <v>0</v>
      </c>
      <c r="B1" s="2">
        <v>7</v>
      </c>
      <c r="C1" s="1" t="s">
        <v>1</v>
      </c>
      <c r="D1" s="2">
        <v>0.41199999999999998</v>
      </c>
      <c r="E1" s="1" t="s">
        <v>2</v>
      </c>
      <c r="F1" s="2">
        <v>24.4</v>
      </c>
      <c r="G1" s="1" t="s">
        <v>3</v>
      </c>
      <c r="H1" s="3">
        <v>8.1000000000000003E-2</v>
      </c>
    </row>
    <row r="2" spans="1:13" x14ac:dyDescent="0.15">
      <c r="A2" s="4" t="s">
        <v>4</v>
      </c>
      <c r="B2" s="5">
        <v>1.6</v>
      </c>
      <c r="C2" s="4" t="s">
        <v>5</v>
      </c>
      <c r="D2" s="5">
        <v>0.40300000000000002</v>
      </c>
      <c r="E2" s="1" t="s">
        <v>6</v>
      </c>
      <c r="F2" s="2">
        <f>B1*B2</f>
        <v>11.200000000000001</v>
      </c>
      <c r="G2" s="4" t="s">
        <v>7</v>
      </c>
      <c r="H2" s="6">
        <v>7.5999999999999998E-2</v>
      </c>
    </row>
    <row r="3" spans="1:13" x14ac:dyDescent="0.15">
      <c r="A3" s="7" t="s">
        <v>8</v>
      </c>
      <c r="B3" s="7">
        <f>B2*((B1-1)/2)</f>
        <v>4.8000000000000007</v>
      </c>
      <c r="C3" s="7" t="s">
        <v>9</v>
      </c>
      <c r="D3" s="7">
        <f>D$1</f>
        <v>0.41199999999999998</v>
      </c>
      <c r="E3" s="8">
        <f t="shared" ref="E3:E9" si="0">B3^2*D3</f>
        <v>9.4924800000000022</v>
      </c>
      <c r="F3" s="7" t="s">
        <v>10</v>
      </c>
      <c r="G3" s="9">
        <f>H$1</f>
        <v>8.1000000000000003E-2</v>
      </c>
    </row>
    <row r="4" spans="1:13" x14ac:dyDescent="0.15">
      <c r="A4" s="7" t="s">
        <v>11</v>
      </c>
      <c r="B4" s="7">
        <f>1.6*((B1-3)/2)</f>
        <v>3.2</v>
      </c>
      <c r="C4" s="7" t="s">
        <v>12</v>
      </c>
      <c r="D4" s="7">
        <f>D$2</f>
        <v>0.40300000000000002</v>
      </c>
      <c r="E4" s="8">
        <f t="shared" si="0"/>
        <v>4.1267200000000015</v>
      </c>
      <c r="F4" s="7" t="s">
        <v>13</v>
      </c>
      <c r="G4" s="9">
        <f>H$2</f>
        <v>7.5999999999999998E-2</v>
      </c>
    </row>
    <row r="5" spans="1:13" x14ac:dyDescent="0.15">
      <c r="A5" s="7" t="s">
        <v>14</v>
      </c>
      <c r="B5" s="7">
        <f>B2*((B1-5)/2)</f>
        <v>1.6</v>
      </c>
      <c r="C5" s="7" t="s">
        <v>15</v>
      </c>
      <c r="D5" s="7">
        <f>D$2</f>
        <v>0.40300000000000002</v>
      </c>
      <c r="E5" s="8">
        <f t="shared" si="0"/>
        <v>1.0316800000000004</v>
      </c>
      <c r="F5" s="7" t="s">
        <v>16</v>
      </c>
      <c r="G5" s="9">
        <f>H$2</f>
        <v>7.5999999999999998E-2</v>
      </c>
    </row>
    <row r="6" spans="1:13" x14ac:dyDescent="0.15">
      <c r="A6" s="7" t="s">
        <v>17</v>
      </c>
      <c r="B6" s="7">
        <f>-B2*((B1-7)/2)</f>
        <v>0</v>
      </c>
      <c r="C6" s="7" t="s">
        <v>18</v>
      </c>
      <c r="D6" s="7">
        <f>D$2</f>
        <v>0.40300000000000002</v>
      </c>
      <c r="E6" s="8">
        <f t="shared" si="0"/>
        <v>0</v>
      </c>
      <c r="F6" s="7" t="s">
        <v>19</v>
      </c>
      <c r="G6" s="9">
        <f>H$2</f>
        <v>7.5999999999999998E-2</v>
      </c>
    </row>
    <row r="7" spans="1:13" x14ac:dyDescent="0.15">
      <c r="A7" s="7" t="s">
        <v>20</v>
      </c>
      <c r="B7" s="7">
        <f>-B2*((B1-5)/2)</f>
        <v>-1.6</v>
      </c>
      <c r="C7" s="7" t="s">
        <v>21</v>
      </c>
      <c r="D7" s="7">
        <f>D$2</f>
        <v>0.40300000000000002</v>
      </c>
      <c r="E7" s="8">
        <f t="shared" si="0"/>
        <v>1.0316800000000004</v>
      </c>
      <c r="F7" s="7" t="s">
        <v>22</v>
      </c>
      <c r="G7" s="9">
        <f>H$2</f>
        <v>7.5999999999999998E-2</v>
      </c>
    </row>
    <row r="8" spans="1:13" x14ac:dyDescent="0.15">
      <c r="A8" s="7" t="s">
        <v>23</v>
      </c>
      <c r="B8" s="7">
        <f>-1.6*((B1-3)/2)</f>
        <v>-3.2</v>
      </c>
      <c r="C8" s="7" t="s">
        <v>24</v>
      </c>
      <c r="D8" s="7">
        <f>D$2</f>
        <v>0.40300000000000002</v>
      </c>
      <c r="E8" s="8">
        <f t="shared" si="0"/>
        <v>4.1267200000000015</v>
      </c>
      <c r="F8" s="7" t="s">
        <v>25</v>
      </c>
      <c r="G8" s="9">
        <f>H$2</f>
        <v>7.5999999999999998E-2</v>
      </c>
    </row>
    <row r="9" spans="1:13" x14ac:dyDescent="0.15">
      <c r="A9" s="7" t="s">
        <v>26</v>
      </c>
      <c r="B9" s="7">
        <f>-B2*((B1-1)/2)</f>
        <v>-4.8000000000000007</v>
      </c>
      <c r="C9" s="7" t="s">
        <v>27</v>
      </c>
      <c r="D9" s="7">
        <f>D$1</f>
        <v>0.41199999999999998</v>
      </c>
      <c r="E9" s="8">
        <f t="shared" si="0"/>
        <v>9.4924800000000022</v>
      </c>
      <c r="F9" s="7" t="s">
        <v>28</v>
      </c>
      <c r="G9" s="9">
        <f>H$1</f>
        <v>8.1000000000000003E-2</v>
      </c>
    </row>
    <row r="10" spans="1:13" x14ac:dyDescent="0.15">
      <c r="A10" s="10"/>
      <c r="B10" s="10"/>
      <c r="C10" s="10"/>
      <c r="D10" s="10">
        <f>SUM(D3,D4,D5,D6,D7,D8,D9)</f>
        <v>2.839</v>
      </c>
      <c r="E10" s="10">
        <f>SUM(E3,E4,E5,E6,E7,E8,E9,)</f>
        <v>29.301760000000009</v>
      </c>
      <c r="F10" s="11"/>
      <c r="G10" s="12">
        <f>SUM(G3:G9)</f>
        <v>0.54200000000000004</v>
      </c>
    </row>
    <row r="12" spans="1:13" ht="18.75" x14ac:dyDescent="0.15">
      <c r="A12" s="39" t="s">
        <v>29</v>
      </c>
      <c r="B12" s="40"/>
      <c r="C12" s="40"/>
      <c r="D12" s="40"/>
      <c r="E12" s="40"/>
      <c r="F12" s="41"/>
      <c r="H12" s="39" t="s">
        <v>30</v>
      </c>
      <c r="I12" s="40"/>
      <c r="J12" s="40"/>
      <c r="K12" s="40"/>
      <c r="L12" s="40"/>
      <c r="M12" s="41"/>
    </row>
    <row r="13" spans="1:13" x14ac:dyDescent="0.15">
      <c r="A13" s="13">
        <f>D3/D10</f>
        <v>0.14512152166255723</v>
      </c>
      <c r="B13" s="8">
        <f>(B3*D3)/E10</f>
        <v>6.7490826489603348E-2</v>
      </c>
      <c r="C13" s="8"/>
      <c r="D13" s="7"/>
      <c r="E13" s="7"/>
      <c r="F13" s="14" t="s">
        <v>31</v>
      </c>
      <c r="H13" s="13">
        <f>D3/D10</f>
        <v>0.14512152166255723</v>
      </c>
      <c r="I13" s="8">
        <f>1/(1+((0.42*F$1^2*G$10)/(12*E$10)))</f>
        <v>0.72179397585646143</v>
      </c>
      <c r="J13" s="8">
        <f>(B3*D3)/E10</f>
        <v>6.7490826489603348E-2</v>
      </c>
      <c r="K13" s="7"/>
      <c r="L13" s="7"/>
      <c r="M13" s="14" t="s">
        <v>31</v>
      </c>
    </row>
    <row r="14" spans="1:13" x14ac:dyDescent="0.15">
      <c r="A14" s="15" t="s">
        <v>32</v>
      </c>
      <c r="B14" s="7">
        <v>4.5999999999999996</v>
      </c>
      <c r="C14" s="16" t="s">
        <v>33</v>
      </c>
      <c r="D14" s="8">
        <f t="shared" ref="D14:D19" si="1">A$13+B$13*B14</f>
        <v>0.45557932351473263</v>
      </c>
      <c r="E14" s="7" t="s">
        <v>34</v>
      </c>
      <c r="F14" s="17">
        <f>1.2*0.5*(D14+D15)</f>
        <v>0.47380509560890749</v>
      </c>
      <c r="H14" s="15" t="s">
        <v>32</v>
      </c>
      <c r="I14" s="7">
        <v>4.5999999999999996</v>
      </c>
      <c r="J14" s="16" t="s">
        <v>33</v>
      </c>
      <c r="K14" s="8">
        <f t="shared" ref="K14:K19" si="2">H$13+I$13*J$13*I14</f>
        <v>0.36920809279709638</v>
      </c>
      <c r="L14" s="7" t="s">
        <v>34</v>
      </c>
      <c r="M14" s="17">
        <f>1.2*0.5*(K14+K15)</f>
        <v>0.3904380816118847</v>
      </c>
    </row>
    <row r="15" spans="1:13" x14ac:dyDescent="0.15">
      <c r="A15" s="15" t="s">
        <v>35</v>
      </c>
      <c r="B15" s="7">
        <v>2.8</v>
      </c>
      <c r="C15" s="16" t="s">
        <v>36</v>
      </c>
      <c r="D15" s="8">
        <f t="shared" si="1"/>
        <v>0.3340958358334466</v>
      </c>
      <c r="E15" s="7" t="s">
        <v>37</v>
      </c>
      <c r="F15" s="17">
        <f>0.5*(D14+D15+D16+D17)</f>
        <v>0.58720267987936925</v>
      </c>
      <c r="H15" s="15" t="s">
        <v>35</v>
      </c>
      <c r="I15" s="7">
        <v>2.8</v>
      </c>
      <c r="J15" s="16" t="s">
        <v>36</v>
      </c>
      <c r="K15" s="8">
        <f t="shared" si="2"/>
        <v>0.28152204322271152</v>
      </c>
      <c r="L15" s="7" t="s">
        <v>37</v>
      </c>
      <c r="M15" s="17">
        <f>0.5*(K14+K15+K16+K17)</f>
        <v>0.50458672006249972</v>
      </c>
    </row>
    <row r="16" spans="1:13" x14ac:dyDescent="0.15">
      <c r="A16" s="15" t="s">
        <v>38</v>
      </c>
      <c r="B16" s="7">
        <v>1.5</v>
      </c>
      <c r="C16" s="16" t="s">
        <v>39</v>
      </c>
      <c r="D16" s="8">
        <f t="shared" si="1"/>
        <v>0.24635776139696225</v>
      </c>
      <c r="E16" s="7" t="s">
        <v>40</v>
      </c>
      <c r="F16" s="17">
        <f>0.78*0.5*(D14+D15+D16+D17+D18+D19)</f>
        <v>0.45013433448035428</v>
      </c>
      <c r="H16" s="15" t="s">
        <v>38</v>
      </c>
      <c r="I16" s="7">
        <v>1.5</v>
      </c>
      <c r="J16" s="16" t="s">
        <v>39</v>
      </c>
      <c r="K16" s="8">
        <f t="shared" si="2"/>
        <v>0.21819322964121129</v>
      </c>
      <c r="L16" s="7" t="s">
        <v>40</v>
      </c>
      <c r="M16" s="17">
        <f>0.78*0.5*(K14+K15+K16+K17+K18+K19)</f>
        <v>0.41937866580307409</v>
      </c>
    </row>
    <row r="17" spans="1:13" x14ac:dyDescent="0.15">
      <c r="A17" s="15" t="s">
        <v>41</v>
      </c>
      <c r="B17" s="7">
        <v>-0.1</v>
      </c>
      <c r="C17" s="16" t="s">
        <v>42</v>
      </c>
      <c r="D17" s="8">
        <f t="shared" si="1"/>
        <v>0.13837243901359689</v>
      </c>
      <c r="E17" s="7"/>
      <c r="F17" s="9"/>
      <c r="H17" s="15" t="s">
        <v>41</v>
      </c>
      <c r="I17" s="7">
        <v>-0.1</v>
      </c>
      <c r="J17" s="16" t="s">
        <v>42</v>
      </c>
      <c r="K17" s="8">
        <f t="shared" si="2"/>
        <v>0.1402500744639803</v>
      </c>
      <c r="L17" s="7"/>
      <c r="M17" s="9"/>
    </row>
    <row r="18" spans="1:13" x14ac:dyDescent="0.15">
      <c r="A18" s="15" t="s">
        <v>43</v>
      </c>
      <c r="B18" s="7">
        <v>-1.4</v>
      </c>
      <c r="C18" s="16" t="s">
        <v>44</v>
      </c>
      <c r="D18" s="8">
        <f t="shared" si="1"/>
        <v>5.0634364577112553E-2</v>
      </c>
      <c r="E18" s="7"/>
      <c r="F18" s="9"/>
      <c r="H18" s="15" t="s">
        <v>43</v>
      </c>
      <c r="I18" s="7">
        <v>-1.4</v>
      </c>
      <c r="J18" s="16" t="s">
        <v>44</v>
      </c>
      <c r="K18" s="8">
        <f t="shared" si="2"/>
        <v>7.6921260882480094E-2</v>
      </c>
      <c r="L18" s="7"/>
      <c r="M18" s="9"/>
    </row>
    <row r="19" spans="1:13" x14ac:dyDescent="0.15">
      <c r="A19" s="15" t="s">
        <v>45</v>
      </c>
      <c r="B19" s="7">
        <v>-3.2</v>
      </c>
      <c r="C19" s="16" t="s">
        <v>46</v>
      </c>
      <c r="D19" s="8">
        <f t="shared" si="1"/>
        <v>-7.0849123104173489E-2</v>
      </c>
      <c r="E19" s="7"/>
      <c r="F19" s="9"/>
      <c r="H19" s="15" t="s">
        <v>45</v>
      </c>
      <c r="I19" s="7">
        <v>-3.2</v>
      </c>
      <c r="J19" s="16" t="s">
        <v>46</v>
      </c>
      <c r="K19" s="8">
        <f t="shared" si="2"/>
        <v>-1.0764788691904809E-2</v>
      </c>
      <c r="L19" s="7"/>
      <c r="M19" s="9"/>
    </row>
    <row r="20" spans="1:13" x14ac:dyDescent="0.15">
      <c r="A20" s="15"/>
      <c r="B20" s="7"/>
      <c r="C20" s="7"/>
      <c r="D20" s="7"/>
      <c r="E20" s="7" t="s">
        <v>47</v>
      </c>
      <c r="F20" s="17">
        <f>MAX(F14,F15,F16)</f>
        <v>0.58720267987936925</v>
      </c>
      <c r="H20" s="15"/>
      <c r="I20" s="7"/>
      <c r="J20" s="7"/>
      <c r="K20" s="7"/>
      <c r="L20" s="7" t="s">
        <v>47</v>
      </c>
      <c r="M20" s="17">
        <f>MAX(M14,M15,M16)</f>
        <v>0.50458672006249972</v>
      </c>
    </row>
    <row r="21" spans="1:13" x14ac:dyDescent="0.15">
      <c r="A21" s="23"/>
      <c r="B21" s="23"/>
      <c r="C21" s="23"/>
      <c r="D21" s="23"/>
      <c r="E21" s="23"/>
      <c r="F21" s="23"/>
      <c r="H21" s="23"/>
      <c r="I21" s="23"/>
      <c r="J21" s="23"/>
      <c r="K21" s="23"/>
      <c r="L21" s="23"/>
      <c r="M21" s="23"/>
    </row>
    <row r="22" spans="1:13" x14ac:dyDescent="0.15">
      <c r="A22" s="13">
        <f>D4/D10</f>
        <v>0.14195139133497711</v>
      </c>
      <c r="B22" s="8">
        <f>(B4*D4)/E10</f>
        <v>4.4011008212475965E-2</v>
      </c>
      <c r="C22" s="8"/>
      <c r="D22" s="7"/>
      <c r="E22" s="7"/>
      <c r="F22" s="14" t="s">
        <v>48</v>
      </c>
      <c r="H22" s="13">
        <f>D4/D10</f>
        <v>0.14195139133497711</v>
      </c>
      <c r="I22" s="8">
        <f>1/(1+((0.42*F$1^2*G$10)/(12*E$10)))</f>
        <v>0.72179397585646143</v>
      </c>
      <c r="J22" s="8">
        <f>(B4*D4)/E10</f>
        <v>4.4011008212475965E-2</v>
      </c>
      <c r="K22" s="7"/>
      <c r="L22" s="7"/>
      <c r="M22" s="14" t="s">
        <v>48</v>
      </c>
    </row>
    <row r="23" spans="1:13" x14ac:dyDescent="0.15">
      <c r="A23" s="15" t="s">
        <v>32</v>
      </c>
      <c r="B23" s="7">
        <v>4.5999999999999996</v>
      </c>
      <c r="C23" s="16" t="s">
        <v>33</v>
      </c>
      <c r="D23" s="8">
        <f t="shared" ref="D23:D28" si="3">A$22+B$22*B23</f>
        <v>0.3444020291123665</v>
      </c>
      <c r="E23" s="7" t="s">
        <v>34</v>
      </c>
      <c r="F23" s="17">
        <f>1.2*0.5*(D23+D24)</f>
        <v>0.36575054606536572</v>
      </c>
      <c r="H23" s="15" t="s">
        <v>32</v>
      </c>
      <c r="I23" s="7">
        <v>4.5999999999999996</v>
      </c>
      <c r="J23" s="16" t="s">
        <v>33</v>
      </c>
      <c r="K23" s="8">
        <f t="shared" ref="K23:K28" si="4">H$22+I$22*J$22*I23</f>
        <v>0.28807904209099533</v>
      </c>
      <c r="L23" s="7" t="s">
        <v>34</v>
      </c>
      <c r="M23" s="17">
        <f>1.2*0.5*(K23+K24)</f>
        <v>0.31138661946212925</v>
      </c>
    </row>
    <row r="24" spans="1:13" x14ac:dyDescent="0.15">
      <c r="A24" s="15" t="s">
        <v>35</v>
      </c>
      <c r="B24" s="7">
        <v>2.8</v>
      </c>
      <c r="C24" s="16" t="s">
        <v>36</v>
      </c>
      <c r="D24" s="8">
        <f t="shared" si="3"/>
        <v>0.26518221432990979</v>
      </c>
      <c r="E24" s="7" t="s">
        <v>37</v>
      </c>
      <c r="F24" s="17">
        <f>0.5*(D23+D24+D25+D26)</f>
        <v>0.47755121880484841</v>
      </c>
      <c r="H24" s="15" t="s">
        <v>35</v>
      </c>
      <c r="I24" s="7">
        <v>2.8</v>
      </c>
      <c r="J24" s="16" t="s">
        <v>36</v>
      </c>
      <c r="K24" s="8">
        <f t="shared" si="4"/>
        <v>0.23089865701255341</v>
      </c>
      <c r="L24" s="7" t="s">
        <v>37</v>
      </c>
      <c r="M24" s="17">
        <f>0.5*(K23+K24+K25+K26)</f>
        <v>0.42367705730614558</v>
      </c>
    </row>
    <row r="25" spans="1:13" x14ac:dyDescent="0.15">
      <c r="A25" s="15" t="s">
        <v>38</v>
      </c>
      <c r="B25" s="7">
        <v>1.5</v>
      </c>
      <c r="C25" s="16" t="s">
        <v>39</v>
      </c>
      <c r="D25" s="8">
        <f t="shared" si="3"/>
        <v>0.20796790365369106</v>
      </c>
      <c r="E25" s="7" t="s">
        <v>40</v>
      </c>
      <c r="F25" s="17">
        <f>0.78*0.5*(D23+D24+D25+D26+D27+D28)</f>
        <v>0.40425628717588202</v>
      </c>
      <c r="H25" s="15" t="s">
        <v>38</v>
      </c>
      <c r="I25" s="7">
        <v>1.5</v>
      </c>
      <c r="J25" s="16" t="s">
        <v>39</v>
      </c>
      <c r="K25" s="8">
        <f t="shared" si="4"/>
        <v>0.18960171223367872</v>
      </c>
      <c r="L25" s="7" t="s">
        <v>40</v>
      </c>
      <c r="M25" s="17">
        <f>0.78*0.5*(K23+K24+K25+K26+K27+K28)</f>
        <v>0.3842004061452286</v>
      </c>
    </row>
    <row r="26" spans="1:13" x14ac:dyDescent="0.15">
      <c r="A26" s="15" t="s">
        <v>41</v>
      </c>
      <c r="B26" s="7">
        <v>-0.1</v>
      </c>
      <c r="C26" s="16" t="s">
        <v>42</v>
      </c>
      <c r="D26" s="8">
        <f t="shared" si="3"/>
        <v>0.13755029051372952</v>
      </c>
      <c r="E26" s="7"/>
      <c r="F26" s="9"/>
      <c r="H26" s="15" t="s">
        <v>41</v>
      </c>
      <c r="I26" s="7">
        <v>-0.1</v>
      </c>
      <c r="J26" s="16" t="s">
        <v>42</v>
      </c>
      <c r="K26" s="8">
        <f t="shared" si="4"/>
        <v>0.13877470327506367</v>
      </c>
      <c r="L26" s="7"/>
      <c r="M26" s="9"/>
    </row>
    <row r="27" spans="1:13" x14ac:dyDescent="0.15">
      <c r="A27" s="15" t="s">
        <v>43</v>
      </c>
      <c r="B27" s="7">
        <v>-1.4</v>
      </c>
      <c r="C27" s="16" t="s">
        <v>44</v>
      </c>
      <c r="D27" s="8">
        <f t="shared" si="3"/>
        <v>8.0335979837510757E-2</v>
      </c>
      <c r="E27" s="7"/>
      <c r="F27" s="9"/>
      <c r="H27" s="15" t="s">
        <v>43</v>
      </c>
      <c r="I27" s="7">
        <v>-1.4</v>
      </c>
      <c r="J27" s="16" t="s">
        <v>44</v>
      </c>
      <c r="K27" s="8">
        <f t="shared" si="4"/>
        <v>9.7477758496188949E-2</v>
      </c>
      <c r="L27" s="7"/>
      <c r="M27" s="9"/>
    </row>
    <row r="28" spans="1:13" x14ac:dyDescent="0.15">
      <c r="A28" s="15" t="s">
        <v>45</v>
      </c>
      <c r="B28" s="7">
        <v>-3.2</v>
      </c>
      <c r="C28" s="16" t="s">
        <v>46</v>
      </c>
      <c r="D28" s="8">
        <f t="shared" si="3"/>
        <v>1.1161650550540192E-3</v>
      </c>
      <c r="E28" s="7"/>
      <c r="F28" s="9"/>
      <c r="H28" s="15" t="s">
        <v>45</v>
      </c>
      <c r="I28" s="7">
        <v>-3.2</v>
      </c>
      <c r="J28" s="16" t="s">
        <v>46</v>
      </c>
      <c r="K28" s="8">
        <f t="shared" si="4"/>
        <v>4.0297373417747029E-2</v>
      </c>
      <c r="L28" s="7"/>
      <c r="M28" s="9"/>
    </row>
    <row r="29" spans="1:13" x14ac:dyDescent="0.15">
      <c r="A29" s="13"/>
      <c r="B29" s="8"/>
      <c r="C29" s="8"/>
      <c r="D29" s="7"/>
      <c r="E29" s="7" t="s">
        <v>47</v>
      </c>
      <c r="F29" s="17">
        <f>MAX(F23,F24,F25)</f>
        <v>0.47755121880484841</v>
      </c>
      <c r="H29" s="13"/>
      <c r="I29" s="8"/>
      <c r="J29" s="8"/>
      <c r="K29" s="7"/>
      <c r="L29" s="7" t="s">
        <v>47</v>
      </c>
      <c r="M29" s="17">
        <f>MAX(M23,M24,M25)</f>
        <v>0.42367705730614558</v>
      </c>
    </row>
    <row r="30" spans="1:13" x14ac:dyDescent="0.15">
      <c r="A30" s="23"/>
      <c r="B30" s="23"/>
      <c r="C30" s="23"/>
      <c r="D30" s="23"/>
      <c r="E30" s="23"/>
      <c r="F30" s="23"/>
      <c r="H30" s="23"/>
      <c r="I30" s="23"/>
      <c r="J30" s="23"/>
      <c r="K30" s="23"/>
      <c r="L30" s="23"/>
      <c r="M30" s="23"/>
    </row>
    <row r="31" spans="1:13" x14ac:dyDescent="0.15">
      <c r="A31" s="13">
        <f>D5/D10</f>
        <v>0.14195139133497711</v>
      </c>
      <c r="B31" s="8">
        <f>(B5*D5)/E10</f>
        <v>2.2005504106237982E-2</v>
      </c>
      <c r="C31" s="8"/>
      <c r="D31" s="7"/>
      <c r="E31" s="7"/>
      <c r="F31" s="24" t="s">
        <v>49</v>
      </c>
      <c r="H31" s="13">
        <f>D5/D10</f>
        <v>0.14195139133497711</v>
      </c>
      <c r="I31" s="8">
        <f>1/(1+((0.42*F$1^2*G$10)/(12*E$10)))</f>
        <v>0.72179397585646143</v>
      </c>
      <c r="J31" s="8">
        <f>(B5*D5)/E10</f>
        <v>2.2005504106237982E-2</v>
      </c>
      <c r="K31" s="7"/>
      <c r="L31" s="7"/>
      <c r="M31" s="24" t="s">
        <v>49</v>
      </c>
    </row>
    <row r="32" spans="1:13" x14ac:dyDescent="0.15">
      <c r="A32" s="15" t="s">
        <v>32</v>
      </c>
      <c r="B32" s="7">
        <v>4.5999999999999996</v>
      </c>
      <c r="C32" s="16" t="s">
        <v>33</v>
      </c>
      <c r="D32" s="8">
        <f t="shared" ref="D32:D37" si="5">A$31+B$31*B32</f>
        <v>0.24317671022367182</v>
      </c>
      <c r="E32" s="7" t="s">
        <v>34</v>
      </c>
      <c r="F32" s="17">
        <f>1.2*0.5*(D32+D33)</f>
        <v>0.26804610783366917</v>
      </c>
      <c r="H32" s="15" t="s">
        <v>32</v>
      </c>
      <c r="I32" s="7">
        <v>4.5999999999999996</v>
      </c>
      <c r="J32" s="16" t="s">
        <v>33</v>
      </c>
      <c r="K32" s="8">
        <f t="shared" ref="K32:K37" si="6">H$31+I$31*J$31*I32</f>
        <v>0.21501521671298623</v>
      </c>
      <c r="L32" s="7" t="s">
        <v>34</v>
      </c>
      <c r="M32" s="17">
        <f>1.2*0.5*(K32+K33)</f>
        <v>0.24086414453205091</v>
      </c>
    </row>
    <row r="33" spans="1:13" x14ac:dyDescent="0.15">
      <c r="A33" s="15" t="s">
        <v>35</v>
      </c>
      <c r="B33" s="7">
        <v>2.8</v>
      </c>
      <c r="C33" s="16" t="s">
        <v>36</v>
      </c>
      <c r="D33" s="8">
        <f t="shared" si="5"/>
        <v>0.20356680283244347</v>
      </c>
      <c r="E33" s="7" t="s">
        <v>37</v>
      </c>
      <c r="F33" s="17">
        <f>0.5*(D32+D33+D34+D35)</f>
        <v>0.38072700073740129</v>
      </c>
      <c r="H33" s="15" t="s">
        <v>35</v>
      </c>
      <c r="I33" s="7">
        <v>2.8</v>
      </c>
      <c r="J33" s="16" t="s">
        <v>36</v>
      </c>
      <c r="K33" s="8">
        <f t="shared" si="6"/>
        <v>0.18642502417376527</v>
      </c>
      <c r="L33" s="7" t="s">
        <v>37</v>
      </c>
      <c r="M33" s="17">
        <f>0.5*(K32+K33+K34+K35)</f>
        <v>0.35378991998804987</v>
      </c>
    </row>
    <row r="34" spans="1:13" x14ac:dyDescent="0.15">
      <c r="A34" s="15" t="s">
        <v>38</v>
      </c>
      <c r="B34" s="7">
        <v>1.5</v>
      </c>
      <c r="C34" s="16" t="s">
        <v>39</v>
      </c>
      <c r="D34" s="8">
        <f t="shared" si="5"/>
        <v>0.17495964749433407</v>
      </c>
      <c r="E34" s="7" t="s">
        <v>40</v>
      </c>
      <c r="F34" s="17">
        <f>0.78*0.5*(D32+D33+D34+D35+D36+D37)</f>
        <v>0.36821127144986426</v>
      </c>
      <c r="H34" s="15" t="s">
        <v>38</v>
      </c>
      <c r="I34" s="7">
        <v>1.5</v>
      </c>
      <c r="J34" s="16" t="s">
        <v>39</v>
      </c>
      <c r="K34" s="8">
        <f t="shared" si="6"/>
        <v>0.1657765517843279</v>
      </c>
      <c r="L34" s="7" t="s">
        <v>40</v>
      </c>
      <c r="M34" s="17">
        <f>0.78*0.5*(K32+K33+K34+K35+K36+K37)</f>
        <v>0.35818333093453752</v>
      </c>
    </row>
    <row r="35" spans="1:13" x14ac:dyDescent="0.15">
      <c r="A35" s="15" t="s">
        <v>41</v>
      </c>
      <c r="B35" s="7">
        <v>-0.1</v>
      </c>
      <c r="C35" s="16" t="s">
        <v>42</v>
      </c>
      <c r="D35" s="8">
        <f t="shared" si="5"/>
        <v>0.1397508409243533</v>
      </c>
      <c r="E35" s="7"/>
      <c r="F35" s="9"/>
      <c r="H35" s="15" t="s">
        <v>41</v>
      </c>
      <c r="I35" s="7">
        <v>-0.1</v>
      </c>
      <c r="J35" s="16" t="s">
        <v>42</v>
      </c>
      <c r="K35" s="8">
        <f t="shared" si="6"/>
        <v>0.14036304730502039</v>
      </c>
      <c r="L35" s="7"/>
      <c r="M35" s="9"/>
    </row>
    <row r="36" spans="1:13" x14ac:dyDescent="0.15">
      <c r="A36" s="15" t="s">
        <v>43</v>
      </c>
      <c r="B36" s="7">
        <v>-1.4</v>
      </c>
      <c r="C36" s="16" t="s">
        <v>44</v>
      </c>
      <c r="D36" s="8">
        <f t="shared" si="5"/>
        <v>0.11114368558624393</v>
      </c>
      <c r="E36" s="7"/>
      <c r="F36" s="9"/>
      <c r="H36" s="15" t="s">
        <v>43</v>
      </c>
      <c r="I36" s="7">
        <v>-1.4</v>
      </c>
      <c r="J36" s="16" t="s">
        <v>44</v>
      </c>
      <c r="K36" s="8">
        <f t="shared" si="6"/>
        <v>0.11971457491558303</v>
      </c>
      <c r="L36" s="7"/>
      <c r="M36" s="9"/>
    </row>
    <row r="37" spans="1:13" x14ac:dyDescent="0.15">
      <c r="A37" s="15" t="s">
        <v>45</v>
      </c>
      <c r="B37" s="7">
        <v>-3.2</v>
      </c>
      <c r="C37" s="16" t="s">
        <v>46</v>
      </c>
      <c r="D37" s="8">
        <f t="shared" si="5"/>
        <v>7.1533778195015565E-2</v>
      </c>
      <c r="E37" s="7"/>
      <c r="F37" s="9"/>
      <c r="H37" s="15" t="s">
        <v>45</v>
      </c>
      <c r="I37" s="7">
        <v>-3.2</v>
      </c>
      <c r="J37" s="16" t="s">
        <v>46</v>
      </c>
      <c r="K37" s="8">
        <f t="shared" si="6"/>
        <v>9.112438237636207E-2</v>
      </c>
      <c r="L37" s="7"/>
      <c r="M37" s="9"/>
    </row>
    <row r="38" spans="1:13" x14ac:dyDescent="0.15">
      <c r="A38" s="19"/>
      <c r="B38" s="10"/>
      <c r="C38" s="10"/>
      <c r="D38" s="10"/>
      <c r="E38" s="10" t="s">
        <v>47</v>
      </c>
      <c r="F38" s="21">
        <f>MAX(F32,F33,F34)</f>
        <v>0.38072700073740129</v>
      </c>
      <c r="H38" s="19"/>
      <c r="I38" s="10"/>
      <c r="J38" s="10"/>
      <c r="K38" s="10"/>
      <c r="L38" s="10" t="s">
        <v>47</v>
      </c>
      <c r="M38" s="21">
        <f>MAX(M32,M33,M34)</f>
        <v>0.35818333093453752</v>
      </c>
    </row>
  </sheetData>
  <mergeCells count="2">
    <mergeCell ref="A12:F12"/>
    <mergeCell ref="H12:M12"/>
  </mergeCells>
  <phoneticPr fontId="5" type="noConversion"/>
  <pageMargins left="0.75" right="0.75" top="1" bottom="1" header="0.51180555555555596" footer="0.51180555555555596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1"/>
  <sheetViews>
    <sheetView workbookViewId="0">
      <selection activeCell="N18" sqref="N18"/>
    </sheetView>
  </sheetViews>
  <sheetFormatPr defaultColWidth="8.75" defaultRowHeight="13.5" x14ac:dyDescent="0.15"/>
  <cols>
    <col min="2" max="2" width="9.5"/>
    <col min="5" max="5" width="9.5"/>
    <col min="10" max="10" width="9.5"/>
  </cols>
  <sheetData>
    <row r="1" spans="1:13" x14ac:dyDescent="0.15">
      <c r="A1" s="1" t="s">
        <v>0</v>
      </c>
      <c r="B1" s="2">
        <v>6</v>
      </c>
      <c r="C1" s="1" t="s">
        <v>1</v>
      </c>
      <c r="D1" s="2">
        <v>0.41199999999999998</v>
      </c>
      <c r="E1" s="1" t="s">
        <v>2</v>
      </c>
      <c r="F1" s="2">
        <v>24.4</v>
      </c>
      <c r="G1" s="1" t="s">
        <v>3</v>
      </c>
      <c r="H1" s="3">
        <v>8.1000000000000003E-2</v>
      </c>
    </row>
    <row r="2" spans="1:13" x14ac:dyDescent="0.15">
      <c r="A2" s="4" t="s">
        <v>4</v>
      </c>
      <c r="B2" s="5">
        <v>1.6</v>
      </c>
      <c r="C2" s="4" t="s">
        <v>5</v>
      </c>
      <c r="D2" s="5">
        <v>0.40300000000000002</v>
      </c>
      <c r="E2" s="1" t="s">
        <v>6</v>
      </c>
      <c r="F2" s="2">
        <f>B1*B2</f>
        <v>9.6000000000000014</v>
      </c>
      <c r="G2" s="4" t="s">
        <v>7</v>
      </c>
      <c r="H2" s="6">
        <v>7.5999999999999998E-2</v>
      </c>
    </row>
    <row r="3" spans="1:13" x14ac:dyDescent="0.15">
      <c r="A3" s="7" t="s">
        <v>8</v>
      </c>
      <c r="B3" s="7">
        <f>B2*((B1-1)/2)</f>
        <v>4</v>
      </c>
      <c r="C3" s="7" t="s">
        <v>9</v>
      </c>
      <c r="D3" s="7">
        <f>D$1</f>
        <v>0.41199999999999998</v>
      </c>
      <c r="E3" s="8">
        <f t="shared" ref="E3:E8" si="0">B3^2*D3</f>
        <v>6.5919999999999996</v>
      </c>
      <c r="F3" s="7" t="s">
        <v>10</v>
      </c>
      <c r="G3" s="9">
        <f>H$1</f>
        <v>8.1000000000000003E-2</v>
      </c>
    </row>
    <row r="4" spans="1:13" x14ac:dyDescent="0.15">
      <c r="A4" s="7" t="s">
        <v>11</v>
      </c>
      <c r="B4" s="7">
        <f>1.6*((B1-3)/2)</f>
        <v>2.4000000000000004</v>
      </c>
      <c r="C4" s="7" t="s">
        <v>12</v>
      </c>
      <c r="D4" s="7">
        <f>D$2</f>
        <v>0.40300000000000002</v>
      </c>
      <c r="E4" s="8">
        <f t="shared" si="0"/>
        <v>2.3212800000000007</v>
      </c>
      <c r="F4" s="7" t="s">
        <v>13</v>
      </c>
      <c r="G4" s="9">
        <f>H$2</f>
        <v>7.5999999999999998E-2</v>
      </c>
    </row>
    <row r="5" spans="1:13" x14ac:dyDescent="0.15">
      <c r="A5" s="7" t="s">
        <v>14</v>
      </c>
      <c r="B5" s="22">
        <f>B2*((B1-5)/2)</f>
        <v>0.8</v>
      </c>
      <c r="C5" s="7" t="s">
        <v>15</v>
      </c>
      <c r="D5" s="7">
        <f>D$2</f>
        <v>0.40300000000000002</v>
      </c>
      <c r="E5" s="8">
        <f t="shared" si="0"/>
        <v>0.25792000000000009</v>
      </c>
      <c r="F5" s="7" t="s">
        <v>16</v>
      </c>
      <c r="G5" s="9">
        <f>H$2</f>
        <v>7.5999999999999998E-2</v>
      </c>
    </row>
    <row r="6" spans="1:13" x14ac:dyDescent="0.15">
      <c r="A6" s="7" t="s">
        <v>17</v>
      </c>
      <c r="B6" s="7">
        <f>-B2*((B1-5)/2)</f>
        <v>-0.8</v>
      </c>
      <c r="C6" s="7" t="s">
        <v>18</v>
      </c>
      <c r="D6" s="7">
        <f>D$2</f>
        <v>0.40300000000000002</v>
      </c>
      <c r="E6" s="8">
        <f t="shared" si="0"/>
        <v>0.25792000000000009</v>
      </c>
      <c r="F6" s="7" t="s">
        <v>19</v>
      </c>
      <c r="G6" s="9">
        <f>H$2</f>
        <v>7.5999999999999998E-2</v>
      </c>
    </row>
    <row r="7" spans="1:13" x14ac:dyDescent="0.15">
      <c r="A7" s="7" t="s">
        <v>20</v>
      </c>
      <c r="B7" s="7">
        <f>-B2*((B1-3)/2)</f>
        <v>-2.4000000000000004</v>
      </c>
      <c r="C7" s="7" t="s">
        <v>21</v>
      </c>
      <c r="D7" s="7">
        <f>D$2</f>
        <v>0.40300000000000002</v>
      </c>
      <c r="E7" s="8">
        <f t="shared" si="0"/>
        <v>2.3212800000000007</v>
      </c>
      <c r="F7" s="7" t="s">
        <v>22</v>
      </c>
      <c r="G7" s="9">
        <f>H$2</f>
        <v>7.5999999999999998E-2</v>
      </c>
    </row>
    <row r="8" spans="1:13" x14ac:dyDescent="0.15">
      <c r="A8" s="7" t="s">
        <v>23</v>
      </c>
      <c r="B8" s="7">
        <f>-B2*((B1-1)/2)</f>
        <v>-4</v>
      </c>
      <c r="C8" s="7" t="s">
        <v>24</v>
      </c>
      <c r="D8" s="7">
        <f>D$1</f>
        <v>0.41199999999999998</v>
      </c>
      <c r="E8" s="8">
        <f t="shared" si="0"/>
        <v>6.5919999999999996</v>
      </c>
      <c r="F8" s="7" t="s">
        <v>25</v>
      </c>
      <c r="G8" s="9">
        <f>H$1</f>
        <v>8.1000000000000003E-2</v>
      </c>
    </row>
    <row r="9" spans="1:13" x14ac:dyDescent="0.15">
      <c r="A9" s="10"/>
      <c r="B9" s="10"/>
      <c r="C9" s="10"/>
      <c r="D9" s="10">
        <f>SUM(D3:D8)</f>
        <v>2.4359999999999999</v>
      </c>
      <c r="E9" s="11">
        <f>SUM(E3:E8)</f>
        <v>18.342400000000001</v>
      </c>
      <c r="F9" s="11"/>
      <c r="G9" s="12">
        <f>SUM(G3:G8)</f>
        <v>0.46600000000000003</v>
      </c>
    </row>
    <row r="11" spans="1:13" ht="18.75" x14ac:dyDescent="0.15">
      <c r="A11" s="39" t="s">
        <v>29</v>
      </c>
      <c r="B11" s="40"/>
      <c r="C11" s="40"/>
      <c r="D11" s="40"/>
      <c r="E11" s="40"/>
      <c r="F11" s="41"/>
      <c r="H11" s="39" t="s">
        <v>30</v>
      </c>
      <c r="I11" s="40"/>
      <c r="J11" s="40"/>
      <c r="K11" s="40"/>
      <c r="L11" s="40"/>
      <c r="M11" s="41"/>
    </row>
    <row r="12" spans="1:13" x14ac:dyDescent="0.15">
      <c r="A12" s="13">
        <f>D3/D9</f>
        <v>0.16912972085385877</v>
      </c>
      <c r="B12" s="8">
        <f>(B3*D3)/E9</f>
        <v>8.9846475924633629E-2</v>
      </c>
      <c r="C12" s="8"/>
      <c r="D12" s="7"/>
      <c r="E12" s="7"/>
      <c r="F12" s="14" t="s">
        <v>31</v>
      </c>
      <c r="H12" s="13">
        <f>D3/D9</f>
        <v>0.16912972085385877</v>
      </c>
      <c r="I12" s="18">
        <f>1/(1+((0.42*F$1^2*G$9)/(12*E$9)))</f>
        <v>0.65385456218978777</v>
      </c>
      <c r="J12" s="8">
        <f>(B3*D3)/E9</f>
        <v>8.9846475924633629E-2</v>
      </c>
      <c r="K12" s="7"/>
      <c r="L12" s="7"/>
      <c r="M12" s="14" t="s">
        <v>31</v>
      </c>
    </row>
    <row r="13" spans="1:13" x14ac:dyDescent="0.15">
      <c r="A13" s="15" t="s">
        <v>32</v>
      </c>
      <c r="B13" s="7">
        <v>3.8</v>
      </c>
      <c r="C13" s="16" t="s">
        <v>33</v>
      </c>
      <c r="D13" s="8">
        <f>A$12+B$12*B13</f>
        <v>0.51054632936746658</v>
      </c>
      <c r="E13" s="7" t="s">
        <v>34</v>
      </c>
      <c r="F13" s="17">
        <f>1.2*0.5*(D13+D14)</f>
        <v>0.51562140124235556</v>
      </c>
      <c r="H13" s="15" t="s">
        <v>32</v>
      </c>
      <c r="I13" s="7">
        <v>3.8</v>
      </c>
      <c r="J13" s="16" t="s">
        <v>33</v>
      </c>
      <c r="K13" s="8">
        <f>H$12+I$12*J$12*I13</f>
        <v>0.39236652793784599</v>
      </c>
      <c r="L13" s="7" t="s">
        <v>34</v>
      </c>
      <c r="M13" s="17">
        <f>1.2*0.5*(K13+K14)</f>
        <v>0.40739358309101875</v>
      </c>
    </row>
    <row r="14" spans="1:13" x14ac:dyDescent="0.15">
      <c r="A14" s="15" t="s">
        <v>35</v>
      </c>
      <c r="B14" s="7">
        <v>2</v>
      </c>
      <c r="C14" s="16" t="s">
        <v>36</v>
      </c>
      <c r="D14" s="8">
        <f>A$12+B$12*B14</f>
        <v>0.34882267270312606</v>
      </c>
      <c r="E14" s="7" t="s">
        <v>37</v>
      </c>
      <c r="F14" s="17">
        <f>0.5*(D13+D14+D15+D16)</f>
        <v>0.58084492670422838</v>
      </c>
      <c r="H14" s="15" t="s">
        <v>35</v>
      </c>
      <c r="I14" s="7">
        <v>2</v>
      </c>
      <c r="J14" s="16" t="s">
        <v>36</v>
      </c>
      <c r="K14" s="8">
        <f>H$12+I$12*J$12*I14</f>
        <v>0.28662277721385204</v>
      </c>
      <c r="L14" s="7" t="s">
        <v>37</v>
      </c>
      <c r="M14" s="17">
        <f>0.5*(K13+K14+K15+K16)</f>
        <v>0.49687506779370844</v>
      </c>
    </row>
    <row r="15" spans="1:13" x14ac:dyDescent="0.15">
      <c r="A15" s="15" t="s">
        <v>38</v>
      </c>
      <c r="B15" s="7">
        <v>0.7</v>
      </c>
      <c r="C15" s="16" t="s">
        <v>39</v>
      </c>
      <c r="D15" s="8">
        <f>A$12+B$12*B15</f>
        <v>0.23202225400110232</v>
      </c>
      <c r="E15" s="7"/>
      <c r="F15" s="17"/>
      <c r="H15" s="15" t="s">
        <v>38</v>
      </c>
      <c r="I15" s="7">
        <v>0.7</v>
      </c>
      <c r="J15" s="16" t="s">
        <v>39</v>
      </c>
      <c r="K15" s="8">
        <f>H$12+I$12*J$12*I15</f>
        <v>0.21025229057985639</v>
      </c>
      <c r="L15" s="7"/>
      <c r="M15" s="17"/>
    </row>
    <row r="16" spans="1:13" x14ac:dyDescent="0.15">
      <c r="A16" s="15" t="s">
        <v>41</v>
      </c>
      <c r="B16" s="7">
        <v>-1.1000000000000001</v>
      </c>
      <c r="C16" s="16" t="s">
        <v>42</v>
      </c>
      <c r="D16" s="8">
        <f>A$12+B$12*B16</f>
        <v>7.0298597336761776E-2</v>
      </c>
      <c r="E16" s="7"/>
      <c r="F16" s="9"/>
      <c r="H16" s="15" t="s">
        <v>41</v>
      </c>
      <c r="I16" s="7">
        <v>-1.1000000000000001</v>
      </c>
      <c r="J16" s="16" t="s">
        <v>42</v>
      </c>
      <c r="K16" s="8">
        <f>H$12+I$12*J$12*I16</f>
        <v>0.10450853985586248</v>
      </c>
      <c r="L16" s="7"/>
      <c r="M16" s="9"/>
    </row>
    <row r="17" spans="1:13" x14ac:dyDescent="0.15">
      <c r="A17" s="15"/>
      <c r="B17" s="7"/>
      <c r="C17" s="16"/>
      <c r="D17" s="8"/>
      <c r="E17" s="7" t="s">
        <v>47</v>
      </c>
      <c r="F17" s="17">
        <f>MAX(F13,F14,F15)</f>
        <v>0.58084492670422838</v>
      </c>
      <c r="H17" s="15"/>
      <c r="I17" s="7"/>
      <c r="J17" s="16"/>
      <c r="K17" s="8"/>
      <c r="L17" s="7" t="s">
        <v>47</v>
      </c>
      <c r="M17" s="17">
        <f>MAX(M13,M14,M15)</f>
        <v>0.49687506779370844</v>
      </c>
    </row>
    <row r="18" spans="1:13" x14ac:dyDescent="0.15">
      <c r="D18" s="18"/>
      <c r="K18" s="18"/>
    </row>
    <row r="19" spans="1:13" x14ac:dyDescent="0.15">
      <c r="A19" s="13">
        <f>D4/D9</f>
        <v>0.16543513957307063</v>
      </c>
      <c r="B19" s="8">
        <f>(B4*D4)/E9</f>
        <v>5.273028611304955E-2</v>
      </c>
      <c r="C19" s="8"/>
      <c r="D19" s="7"/>
      <c r="E19" s="7"/>
      <c r="F19" s="14" t="s">
        <v>48</v>
      </c>
      <c r="H19" s="13">
        <f>D4/D9</f>
        <v>0.16543513957307063</v>
      </c>
      <c r="I19" s="18">
        <f>1/(1+((0.42*F$1^2*G$9)/(12*E$9)))</f>
        <v>0.65385456218978777</v>
      </c>
      <c r="J19" s="8">
        <f>(B4*D4)/E9</f>
        <v>5.273028611304955E-2</v>
      </c>
      <c r="K19" s="7"/>
      <c r="L19" s="7"/>
      <c r="M19" s="14" t="s">
        <v>48</v>
      </c>
    </row>
    <row r="20" spans="1:13" x14ac:dyDescent="0.15">
      <c r="A20" s="15" t="s">
        <v>32</v>
      </c>
      <c r="B20" s="7">
        <v>3.8</v>
      </c>
      <c r="C20" s="16" t="s">
        <v>33</v>
      </c>
      <c r="D20" s="8">
        <f>A$19+B$19*B20</f>
        <v>0.3658102268026589</v>
      </c>
      <c r="E20" s="7" t="s">
        <v>34</v>
      </c>
      <c r="F20" s="17">
        <f>1.2*0.5*(D20+D21)</f>
        <v>0.38202356316109715</v>
      </c>
      <c r="H20" s="15" t="s">
        <v>32</v>
      </c>
      <c r="I20" s="7">
        <v>3.8</v>
      </c>
      <c r="J20" s="16" t="s">
        <v>33</v>
      </c>
      <c r="K20" s="8">
        <f t="shared" ref="K20:K23" si="1">H$19+I$19*J$19*I20</f>
        <v>0.29645130450731361</v>
      </c>
      <c r="L20" s="7" t="s">
        <v>34</v>
      </c>
      <c r="M20" s="17">
        <f>1.2*0.5*(K20+K21)</f>
        <v>0.31850539221693885</v>
      </c>
    </row>
    <row r="21" spans="1:13" x14ac:dyDescent="0.15">
      <c r="A21" s="15" t="s">
        <v>35</v>
      </c>
      <c r="B21" s="7">
        <v>2</v>
      </c>
      <c r="C21" s="16" t="s">
        <v>36</v>
      </c>
      <c r="D21" s="8">
        <f>A$19+B$19*B21</f>
        <v>0.27089571179916971</v>
      </c>
      <c r="E21" s="7" t="s">
        <v>37</v>
      </c>
      <c r="F21" s="17">
        <f>0.5*(D20+D21+D22+D23)</f>
        <v>0.47324205165137501</v>
      </c>
      <c r="H21" s="15" t="s">
        <v>35</v>
      </c>
      <c r="I21" s="7">
        <v>2</v>
      </c>
      <c r="J21" s="16" t="s">
        <v>36</v>
      </c>
      <c r="K21" s="8">
        <f t="shared" si="1"/>
        <v>0.23439101585425115</v>
      </c>
      <c r="L21" s="7" t="s">
        <v>37</v>
      </c>
      <c r="M21" s="17">
        <f>0.5*(K20+K21+K22+K23)</f>
        <v>0.42396071212573494</v>
      </c>
    </row>
    <row r="22" spans="1:13" x14ac:dyDescent="0.15">
      <c r="A22" s="15" t="s">
        <v>38</v>
      </c>
      <c r="B22" s="7">
        <v>0.7</v>
      </c>
      <c r="C22" s="16" t="s">
        <v>39</v>
      </c>
      <c r="D22" s="8">
        <f>A$19+B$19*B22</f>
        <v>0.20234633985220532</v>
      </c>
      <c r="E22" s="7"/>
      <c r="F22" s="17"/>
      <c r="H22" s="15" t="s">
        <v>38</v>
      </c>
      <c r="I22" s="7">
        <v>0.7</v>
      </c>
      <c r="J22" s="16" t="s">
        <v>39</v>
      </c>
      <c r="K22" s="8">
        <f t="shared" si="1"/>
        <v>0.18956969627148382</v>
      </c>
      <c r="L22" s="7"/>
      <c r="M22" s="17"/>
    </row>
    <row r="23" spans="1:13" x14ac:dyDescent="0.15">
      <c r="A23" s="15" t="s">
        <v>41</v>
      </c>
      <c r="B23" s="7">
        <v>-1.1000000000000001</v>
      </c>
      <c r="C23" s="16" t="s">
        <v>42</v>
      </c>
      <c r="D23" s="8">
        <f>A$19+B$19*B23</f>
        <v>0.10743182484871612</v>
      </c>
      <c r="E23" s="7"/>
      <c r="F23" s="9"/>
      <c r="H23" s="15" t="s">
        <v>41</v>
      </c>
      <c r="I23" s="7">
        <v>-1.1000000000000001</v>
      </c>
      <c r="J23" s="16" t="s">
        <v>42</v>
      </c>
      <c r="K23" s="8">
        <f t="shared" si="1"/>
        <v>0.12750940761842133</v>
      </c>
      <c r="L23" s="7"/>
      <c r="M23" s="9"/>
    </row>
    <row r="24" spans="1:13" x14ac:dyDescent="0.15">
      <c r="A24" s="15"/>
      <c r="B24" s="7"/>
      <c r="C24" s="16"/>
      <c r="D24" s="8"/>
      <c r="E24" s="7" t="s">
        <v>47</v>
      </c>
      <c r="F24" s="17">
        <f>MAX(F20,F21,F22)</f>
        <v>0.47324205165137501</v>
      </c>
      <c r="H24" s="15"/>
      <c r="I24" s="7"/>
      <c r="J24" s="16"/>
      <c r="K24" s="8"/>
      <c r="L24" s="7" t="s">
        <v>47</v>
      </c>
      <c r="M24" s="17">
        <f>MAX(M20,M21,M22)</f>
        <v>0.42396071212573494</v>
      </c>
    </row>
    <row r="26" spans="1:13" x14ac:dyDescent="0.15">
      <c r="A26" s="13">
        <f>D5/D9</f>
        <v>0.16543513957307063</v>
      </c>
      <c r="B26" s="8">
        <f>(B5*D5)/E9</f>
        <v>1.7576762037683182E-2</v>
      </c>
      <c r="C26" s="8"/>
      <c r="D26" s="7"/>
      <c r="E26" s="7"/>
      <c r="F26" s="14" t="s">
        <v>49</v>
      </c>
      <c r="H26" s="13">
        <f>D5/D9</f>
        <v>0.16543513957307063</v>
      </c>
      <c r="I26" s="18">
        <f>1/(1+((0.42*F$1^2*G$9)/(12*E$9)))</f>
        <v>0.65385456218978777</v>
      </c>
      <c r="J26" s="8">
        <f>(B5*D5)/E9</f>
        <v>1.7576762037683182E-2</v>
      </c>
      <c r="K26" s="7"/>
      <c r="L26" s="7"/>
      <c r="M26" s="14" t="s">
        <v>49</v>
      </c>
    </row>
    <row r="27" spans="1:13" x14ac:dyDescent="0.15">
      <c r="A27" s="15" t="s">
        <v>32</v>
      </c>
      <c r="B27" s="7">
        <v>3.8</v>
      </c>
      <c r="C27" s="16" t="s">
        <v>33</v>
      </c>
      <c r="D27" s="8">
        <f t="shared" ref="D27:D30" si="2">A$26+B$26*B27</f>
        <v>0.2322268353162667</v>
      </c>
      <c r="E27" s="7" t="s">
        <v>34</v>
      </c>
      <c r="F27" s="17">
        <f>1.2*0.5*(D27+D28)</f>
        <v>0.25968929937882224</v>
      </c>
      <c r="H27" s="15" t="s">
        <v>32</v>
      </c>
      <c r="I27" s="7">
        <v>3.8</v>
      </c>
      <c r="J27" s="16" t="s">
        <v>33</v>
      </c>
      <c r="K27" s="8">
        <f t="shared" ref="K27:K30" si="3">H$26+I$26*J$26*I27</f>
        <v>0.20910719455115162</v>
      </c>
      <c r="L27" s="7" t="s">
        <v>34</v>
      </c>
      <c r="M27" s="17">
        <f>1.2*0.5*(K27+K28)</f>
        <v>0.23851657573076945</v>
      </c>
    </row>
    <row r="28" spans="1:13" x14ac:dyDescent="0.15">
      <c r="A28" s="15" t="s">
        <v>35</v>
      </c>
      <c r="B28" s="7">
        <v>2</v>
      </c>
      <c r="C28" s="16" t="s">
        <v>36</v>
      </c>
      <c r="D28" s="8">
        <f t="shared" si="2"/>
        <v>0.200588663648437</v>
      </c>
      <c r="E28" s="7" t="s">
        <v>37</v>
      </c>
      <c r="F28" s="17">
        <f>0.5*(D27+D28+D29+D30)</f>
        <v>0.37832753664788588</v>
      </c>
      <c r="H28" s="15" t="s">
        <v>35</v>
      </c>
      <c r="I28" s="7">
        <v>2</v>
      </c>
      <c r="J28" s="16" t="s">
        <v>36</v>
      </c>
      <c r="K28" s="8">
        <f t="shared" si="3"/>
        <v>0.18842043166679748</v>
      </c>
      <c r="L28" s="7" t="s">
        <v>37</v>
      </c>
      <c r="M28" s="17">
        <f>0.5*(K27+K28+K29+K30)</f>
        <v>0.36190042347267248</v>
      </c>
    </row>
    <row r="29" spans="1:13" x14ac:dyDescent="0.15">
      <c r="A29" s="15" t="s">
        <v>38</v>
      </c>
      <c r="B29" s="7">
        <v>0.7</v>
      </c>
      <c r="C29" s="16" t="s">
        <v>39</v>
      </c>
      <c r="D29" s="8">
        <f t="shared" si="2"/>
        <v>0.17773887299944885</v>
      </c>
      <c r="E29" s="7"/>
      <c r="F29" s="17"/>
      <c r="H29" s="15" t="s">
        <v>38</v>
      </c>
      <c r="I29" s="7">
        <v>0.7</v>
      </c>
      <c r="J29" s="16" t="s">
        <v>39</v>
      </c>
      <c r="K29" s="8">
        <f t="shared" si="3"/>
        <v>0.17347999180587503</v>
      </c>
      <c r="L29" s="7"/>
      <c r="M29" s="17"/>
    </row>
    <row r="30" spans="1:13" x14ac:dyDescent="0.15">
      <c r="A30" s="15" t="s">
        <v>41</v>
      </c>
      <c r="B30" s="7">
        <v>-1.1000000000000001</v>
      </c>
      <c r="C30" s="16" t="s">
        <v>42</v>
      </c>
      <c r="D30" s="8">
        <f t="shared" si="2"/>
        <v>0.14610070133161912</v>
      </c>
      <c r="E30" s="7"/>
      <c r="F30" s="9"/>
      <c r="H30" s="15" t="s">
        <v>41</v>
      </c>
      <c r="I30" s="7">
        <v>-1.1000000000000001</v>
      </c>
      <c r="J30" s="16" t="s">
        <v>42</v>
      </c>
      <c r="K30" s="8">
        <f t="shared" si="3"/>
        <v>0.15279322892152086</v>
      </c>
      <c r="L30" s="7"/>
      <c r="M30" s="9"/>
    </row>
    <row r="31" spans="1:13" x14ac:dyDescent="0.15">
      <c r="A31" s="19"/>
      <c r="B31" s="10"/>
      <c r="C31" s="20"/>
      <c r="D31" s="11"/>
      <c r="E31" s="10" t="s">
        <v>47</v>
      </c>
      <c r="F31" s="21">
        <f>MAX(F27,F28,F29)</f>
        <v>0.37832753664788588</v>
      </c>
      <c r="H31" s="19"/>
      <c r="I31" s="10"/>
      <c r="J31" s="20"/>
      <c r="K31" s="11"/>
      <c r="L31" s="10" t="s">
        <v>47</v>
      </c>
      <c r="M31" s="21">
        <f>MAX(M27,M28,M29)</f>
        <v>0.36190042347267248</v>
      </c>
    </row>
  </sheetData>
  <mergeCells count="2">
    <mergeCell ref="A11:F11"/>
    <mergeCell ref="H11:M11"/>
  </mergeCells>
  <phoneticPr fontId="5" type="noConversion"/>
  <pageMargins left="0.75" right="0.75" top="1" bottom="1" header="0.51180555555555596" footer="0.51180555555555596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30"/>
  <sheetViews>
    <sheetView workbookViewId="0">
      <selection activeCell="O17" sqref="O17"/>
    </sheetView>
  </sheetViews>
  <sheetFormatPr defaultColWidth="8.75" defaultRowHeight="13.5" x14ac:dyDescent="0.15"/>
  <cols>
    <col min="5" max="5" width="9.5"/>
    <col min="6" max="6" width="9.5" customWidth="1"/>
    <col min="9" max="9" width="12.875"/>
  </cols>
  <sheetData>
    <row r="1" spans="1:13" x14ac:dyDescent="0.15">
      <c r="A1" s="1" t="s">
        <v>0</v>
      </c>
      <c r="B1" s="2">
        <v>5</v>
      </c>
      <c r="C1" s="1" t="s">
        <v>1</v>
      </c>
      <c r="D1" s="2">
        <v>0.41199999999999998</v>
      </c>
      <c r="E1" s="1" t="s">
        <v>2</v>
      </c>
      <c r="F1" s="2">
        <v>24.4</v>
      </c>
      <c r="G1" s="1" t="s">
        <v>3</v>
      </c>
      <c r="H1" s="3">
        <v>8.1000000000000003E-2</v>
      </c>
    </row>
    <row r="2" spans="1:13" x14ac:dyDescent="0.15">
      <c r="A2" s="4" t="s">
        <v>4</v>
      </c>
      <c r="B2" s="5">
        <v>1.6</v>
      </c>
      <c r="C2" s="4" t="s">
        <v>5</v>
      </c>
      <c r="D2" s="5">
        <v>0.40300000000000002</v>
      </c>
      <c r="E2" s="1" t="s">
        <v>6</v>
      </c>
      <c r="F2" s="2">
        <f>B1*B2</f>
        <v>8</v>
      </c>
      <c r="G2" s="4" t="s">
        <v>7</v>
      </c>
      <c r="H2" s="6">
        <v>7.5999999999999998E-2</v>
      </c>
    </row>
    <row r="3" spans="1:13" x14ac:dyDescent="0.15">
      <c r="A3" s="7" t="s">
        <v>8</v>
      </c>
      <c r="B3" s="7">
        <f>B2*((B1-1)/2)</f>
        <v>3.2</v>
      </c>
      <c r="C3" s="7" t="s">
        <v>9</v>
      </c>
      <c r="D3" s="7">
        <f>D$1</f>
        <v>0.41199999999999998</v>
      </c>
      <c r="E3" s="8">
        <f t="shared" ref="E3:E7" si="0">B3^2*D3</f>
        <v>4.2188800000000004</v>
      </c>
      <c r="F3" s="7" t="s">
        <v>10</v>
      </c>
      <c r="G3" s="9">
        <f>H$1</f>
        <v>8.1000000000000003E-2</v>
      </c>
    </row>
    <row r="4" spans="1:13" x14ac:dyDescent="0.15">
      <c r="A4" s="7" t="s">
        <v>11</v>
      </c>
      <c r="B4" s="7">
        <f>1.6*((B1-3)/2)</f>
        <v>1.6</v>
      </c>
      <c r="C4" s="7" t="s">
        <v>12</v>
      </c>
      <c r="D4" s="7">
        <f>D$2</f>
        <v>0.40300000000000002</v>
      </c>
      <c r="E4" s="8">
        <f t="shared" si="0"/>
        <v>1.0316800000000004</v>
      </c>
      <c r="F4" s="7" t="s">
        <v>13</v>
      </c>
      <c r="G4" s="9">
        <f>H$2</f>
        <v>7.5999999999999998E-2</v>
      </c>
    </row>
    <row r="5" spans="1:13" x14ac:dyDescent="0.15">
      <c r="A5" s="7" t="s">
        <v>14</v>
      </c>
      <c r="B5" s="7">
        <f>-B2*((B1-5)/2)</f>
        <v>0</v>
      </c>
      <c r="C5" s="7" t="s">
        <v>15</v>
      </c>
      <c r="D5" s="7">
        <f>D$2</f>
        <v>0.40300000000000002</v>
      </c>
      <c r="E5" s="8">
        <f t="shared" si="0"/>
        <v>0</v>
      </c>
      <c r="F5" s="7" t="s">
        <v>16</v>
      </c>
      <c r="G5" s="9">
        <f>H$2</f>
        <v>7.5999999999999998E-2</v>
      </c>
    </row>
    <row r="6" spans="1:13" x14ac:dyDescent="0.15">
      <c r="A6" s="7" t="s">
        <v>17</v>
      </c>
      <c r="B6" s="7">
        <f>-B2*((B1-3)/2)</f>
        <v>-1.6</v>
      </c>
      <c r="C6" s="7" t="s">
        <v>18</v>
      </c>
      <c r="D6" s="7">
        <f>D$2</f>
        <v>0.40300000000000002</v>
      </c>
      <c r="E6" s="8">
        <f t="shared" si="0"/>
        <v>1.0316800000000004</v>
      </c>
      <c r="F6" s="7" t="s">
        <v>19</v>
      </c>
      <c r="G6" s="9">
        <f>H$2</f>
        <v>7.5999999999999998E-2</v>
      </c>
    </row>
    <row r="7" spans="1:13" x14ac:dyDescent="0.15">
      <c r="A7" s="7" t="s">
        <v>20</v>
      </c>
      <c r="B7" s="7">
        <f>-B2*((B1-1)/2)</f>
        <v>-3.2</v>
      </c>
      <c r="C7" s="7" t="s">
        <v>21</v>
      </c>
      <c r="D7" s="7">
        <f>D$1</f>
        <v>0.41199999999999998</v>
      </c>
      <c r="E7" s="8">
        <f t="shared" si="0"/>
        <v>4.2188800000000004</v>
      </c>
      <c r="F7" s="7" t="s">
        <v>22</v>
      </c>
      <c r="G7" s="9">
        <f>H$1</f>
        <v>8.1000000000000003E-2</v>
      </c>
    </row>
    <row r="8" spans="1:13" x14ac:dyDescent="0.15">
      <c r="A8" s="10"/>
      <c r="B8" s="10"/>
      <c r="C8" s="10"/>
      <c r="D8" s="10">
        <f>SUM(D3,D4,D5,D6,D7)</f>
        <v>2.0329999999999999</v>
      </c>
      <c r="E8" s="11">
        <f>SUM(E3,E4,E5,E6,E7,)</f>
        <v>10.501120000000002</v>
      </c>
      <c r="F8" s="11"/>
      <c r="G8" s="12">
        <f>SUM(G3:G7)</f>
        <v>0.39</v>
      </c>
    </row>
    <row r="10" spans="1:13" ht="18.75" x14ac:dyDescent="0.15">
      <c r="A10" s="39" t="s">
        <v>29</v>
      </c>
      <c r="B10" s="40"/>
      <c r="C10" s="40"/>
      <c r="D10" s="40"/>
      <c r="E10" s="40"/>
      <c r="F10" s="41"/>
      <c r="H10" s="39" t="s">
        <v>30</v>
      </c>
      <c r="I10" s="40"/>
      <c r="J10" s="40"/>
      <c r="K10" s="40"/>
      <c r="L10" s="40"/>
      <c r="M10" s="41"/>
    </row>
    <row r="11" spans="1:13" x14ac:dyDescent="0.15">
      <c r="A11" s="13">
        <f>D3/D8</f>
        <v>0.20265617314313822</v>
      </c>
      <c r="B11" s="8">
        <f>(B3*D3)/E8</f>
        <v>0.12554851292052654</v>
      </c>
      <c r="C11" s="8"/>
      <c r="D11" s="7"/>
      <c r="E11" s="7"/>
      <c r="F11" s="14" t="s">
        <v>31</v>
      </c>
      <c r="H11" s="13">
        <f>D3/D8</f>
        <v>0.20265617314313822</v>
      </c>
      <c r="I11" s="18">
        <f>1/(1+((0.42*F$1^2*G$8)/(12*E$8)))</f>
        <v>0.56373425846037306</v>
      </c>
      <c r="J11" s="8">
        <f>(B3*D3)/E8</f>
        <v>0.12554851292052654</v>
      </c>
      <c r="K11" s="7"/>
      <c r="L11" s="7"/>
      <c r="M11" s="14" t="s">
        <v>31</v>
      </c>
    </row>
    <row r="12" spans="1:13" x14ac:dyDescent="0.15">
      <c r="A12" s="15" t="s">
        <v>32</v>
      </c>
      <c r="B12" s="7">
        <v>3</v>
      </c>
      <c r="C12" s="16" t="s">
        <v>33</v>
      </c>
      <c r="D12" s="8">
        <f t="shared" ref="D12:D15" si="1">A$11+B$11*B12</f>
        <v>0.57930171190471791</v>
      </c>
      <c r="E12" s="7" t="s">
        <v>34</v>
      </c>
      <c r="F12" s="17">
        <f>1.2*0.5*(D12+D13)</f>
        <v>0.5595696603314928</v>
      </c>
      <c r="H12" s="15" t="s">
        <v>32</v>
      </c>
      <c r="I12" s="7">
        <v>3</v>
      </c>
      <c r="J12" s="16" t="s">
        <v>33</v>
      </c>
      <c r="K12" s="8">
        <f>H$11+I$11*J$11*I12</f>
        <v>0.41498416663930504</v>
      </c>
      <c r="L12" s="7" t="s">
        <v>34</v>
      </c>
      <c r="M12" s="17">
        <f>1.2*0.5*(K12+K13)</f>
        <v>0.42154292230854601</v>
      </c>
    </row>
    <row r="13" spans="1:13" x14ac:dyDescent="0.15">
      <c r="A13" s="15" t="s">
        <v>35</v>
      </c>
      <c r="B13" s="7">
        <v>1.2</v>
      </c>
      <c r="C13" s="16" t="s">
        <v>36</v>
      </c>
      <c r="D13" s="8">
        <f t="shared" si="1"/>
        <v>0.35331438864777009</v>
      </c>
      <c r="E13" s="7" t="s">
        <v>37</v>
      </c>
      <c r="F13" s="17">
        <f>0.5*(D12+D13+D14+D15)</f>
        <v>0.54341571049885573</v>
      </c>
      <c r="H13" s="15" t="s">
        <v>35</v>
      </c>
      <c r="I13" s="7">
        <v>1.2</v>
      </c>
      <c r="J13" s="16" t="s">
        <v>36</v>
      </c>
      <c r="K13" s="8">
        <f>H$11+I$11*J$11*I13</f>
        <v>0.28758737054160494</v>
      </c>
      <c r="L13" s="7" t="s">
        <v>37</v>
      </c>
      <c r="M13" s="17">
        <f>0.5*(K12+K13+K14+K15)</f>
        <v>0.48316594390153766</v>
      </c>
    </row>
    <row r="14" spans="1:13" x14ac:dyDescent="0.15">
      <c r="A14" s="15" t="s">
        <v>38</v>
      </c>
      <c r="B14" s="7">
        <v>-0.1</v>
      </c>
      <c r="C14" s="16" t="s">
        <v>39</v>
      </c>
      <c r="D14" s="8">
        <f t="shared" si="1"/>
        <v>0.19010132185108555</v>
      </c>
      <c r="E14" s="7"/>
      <c r="F14" s="17"/>
      <c r="H14" s="15" t="s">
        <v>38</v>
      </c>
      <c r="I14" s="7">
        <v>-0.1</v>
      </c>
      <c r="J14" s="16" t="s">
        <v>39</v>
      </c>
      <c r="K14" s="8">
        <f>H$11+I$11*J$11*I14</f>
        <v>0.19557857335993267</v>
      </c>
      <c r="L14" s="7"/>
      <c r="M14" s="17"/>
    </row>
    <row r="15" spans="1:13" x14ac:dyDescent="0.15">
      <c r="A15" s="15" t="s">
        <v>41</v>
      </c>
      <c r="B15" s="7">
        <v>-1.9</v>
      </c>
      <c r="C15" s="16" t="s">
        <v>42</v>
      </c>
      <c r="D15" s="8">
        <f t="shared" si="1"/>
        <v>-3.5886001405862206E-2</v>
      </c>
      <c r="E15" s="7"/>
      <c r="F15" s="9"/>
      <c r="H15" s="15" t="s">
        <v>41</v>
      </c>
      <c r="I15" s="7">
        <v>-1.9</v>
      </c>
      <c r="J15" s="16" t="s">
        <v>42</v>
      </c>
      <c r="K15" s="8">
        <f>H$11+I$11*J$11*I15</f>
        <v>6.8181777262232596E-2</v>
      </c>
      <c r="L15" s="7"/>
      <c r="M15" s="9"/>
    </row>
    <row r="16" spans="1:13" x14ac:dyDescent="0.15">
      <c r="A16" s="15"/>
      <c r="B16" s="7"/>
      <c r="C16" s="16"/>
      <c r="D16" s="8"/>
      <c r="E16" s="7" t="s">
        <v>47</v>
      </c>
      <c r="F16" s="17">
        <f>MAX(F12,F13,F14)</f>
        <v>0.5595696603314928</v>
      </c>
      <c r="H16" s="15"/>
      <c r="I16" s="7"/>
      <c r="J16" s="16"/>
      <c r="K16" s="8"/>
      <c r="L16" s="7" t="s">
        <v>47</v>
      </c>
      <c r="M16" s="17">
        <f>MAX(M12,M13,M14)</f>
        <v>0.48316594390153766</v>
      </c>
    </row>
    <row r="17" spans="1:13" x14ac:dyDescent="0.15">
      <c r="D17" s="18"/>
      <c r="K17" s="18"/>
    </row>
    <row r="18" spans="1:13" x14ac:dyDescent="0.15">
      <c r="A18" s="13">
        <f>D4/D8</f>
        <v>0.19822921790457454</v>
      </c>
      <c r="B18" s="8">
        <f>(B4*D4)/E8</f>
        <v>6.1402974158946848E-2</v>
      </c>
      <c r="C18" s="8"/>
      <c r="D18" s="7"/>
      <c r="E18" s="7"/>
      <c r="F18" s="14" t="s">
        <v>48</v>
      </c>
      <c r="H18" s="13">
        <f>D4/D8</f>
        <v>0.19822921790457454</v>
      </c>
      <c r="I18" s="18">
        <f>1/(1+((0.42*F$1^2*G$8)/(12*E$8)))</f>
        <v>0.56373425846037306</v>
      </c>
      <c r="J18" s="8">
        <f>(B4*D4)/E8</f>
        <v>6.1402974158946848E-2</v>
      </c>
      <c r="K18" s="7"/>
      <c r="L18" s="7"/>
      <c r="M18" s="14" t="s">
        <v>48</v>
      </c>
    </row>
    <row r="19" spans="1:13" x14ac:dyDescent="0.15">
      <c r="A19" s="15" t="s">
        <v>32</v>
      </c>
      <c r="B19" s="7">
        <v>3</v>
      </c>
      <c r="C19" s="16" t="s">
        <v>33</v>
      </c>
      <c r="D19" s="8">
        <f t="shared" ref="D19:D22" si="2">A$18+B$18*B19</f>
        <v>0.3824381403814151</v>
      </c>
      <c r="E19" s="7" t="s">
        <v>34</v>
      </c>
      <c r="F19" s="17">
        <f>1.2*0.5*(D19+D20)</f>
        <v>0.39261055636603548</v>
      </c>
      <c r="H19" s="15" t="s">
        <v>32</v>
      </c>
      <c r="I19" s="7">
        <v>3</v>
      </c>
      <c r="J19" s="16" t="s">
        <v>33</v>
      </c>
      <c r="K19" s="8">
        <f>H$18+I$18*J$18*I19</f>
        <v>0.30207409821884057</v>
      </c>
      <c r="L19" s="7" t="s">
        <v>34</v>
      </c>
      <c r="M19" s="17">
        <f>1.2*0.5*(K19+K20)</f>
        <v>0.32510476094947294</v>
      </c>
    </row>
    <row r="20" spans="1:13" x14ac:dyDescent="0.15">
      <c r="A20" s="15" t="s">
        <v>35</v>
      </c>
      <c r="B20" s="7">
        <v>1.2</v>
      </c>
      <c r="C20" s="16" t="s">
        <v>36</v>
      </c>
      <c r="D20" s="8">
        <f t="shared" si="2"/>
        <v>0.27191278689531073</v>
      </c>
      <c r="E20" s="7" t="s">
        <v>37</v>
      </c>
      <c r="F20" s="17">
        <f>0.5*(D19+D20+D21+D22)</f>
        <v>0.4640017073839906</v>
      </c>
      <c r="H20" s="15" t="s">
        <v>35</v>
      </c>
      <c r="I20" s="7">
        <v>1.2</v>
      </c>
      <c r="J20" s="16" t="s">
        <v>36</v>
      </c>
      <c r="K20" s="8">
        <f>H$18+I$18*J$18*I20</f>
        <v>0.23976717003028097</v>
      </c>
      <c r="L20" s="7" t="s">
        <v>37</v>
      </c>
      <c r="M20" s="17">
        <f>0.5*(K19+K20+K21+K22)</f>
        <v>0.43453489192438</v>
      </c>
    </row>
    <row r="21" spans="1:13" x14ac:dyDescent="0.15">
      <c r="A21" s="15" t="s">
        <v>38</v>
      </c>
      <c r="B21" s="7">
        <v>-0.1</v>
      </c>
      <c r="C21" s="16" t="s">
        <v>39</v>
      </c>
      <c r="D21" s="8">
        <f t="shared" si="2"/>
        <v>0.19208892048867984</v>
      </c>
      <c r="E21" s="7"/>
      <c r="F21" s="17"/>
      <c r="H21" s="15" t="s">
        <v>38</v>
      </c>
      <c r="I21" s="7">
        <v>-0.1</v>
      </c>
      <c r="J21" s="16" t="s">
        <v>39</v>
      </c>
      <c r="K21" s="8">
        <f>H$18+I$18*J$18*I21</f>
        <v>0.19476772189409899</v>
      </c>
      <c r="L21" s="7"/>
      <c r="M21" s="17"/>
    </row>
    <row r="22" spans="1:13" x14ac:dyDescent="0.15">
      <c r="A22" s="15" t="s">
        <v>41</v>
      </c>
      <c r="B22" s="7">
        <v>-1.9</v>
      </c>
      <c r="C22" s="16" t="s">
        <v>42</v>
      </c>
      <c r="D22" s="8">
        <f t="shared" si="2"/>
        <v>8.156356700257554E-2</v>
      </c>
      <c r="E22" s="7"/>
      <c r="F22" s="9"/>
      <c r="H22" s="15" t="s">
        <v>41</v>
      </c>
      <c r="I22" s="7">
        <v>-1.9</v>
      </c>
      <c r="J22" s="16" t="s">
        <v>42</v>
      </c>
      <c r="K22" s="8">
        <f>H$18+I$18*J$18*I22</f>
        <v>0.13246079370553937</v>
      </c>
      <c r="L22" s="7"/>
      <c r="M22" s="9"/>
    </row>
    <row r="23" spans="1:13" x14ac:dyDescent="0.15">
      <c r="A23" s="15"/>
      <c r="B23" s="7"/>
      <c r="C23" s="16"/>
      <c r="D23" s="8"/>
      <c r="E23" s="7" t="s">
        <v>47</v>
      </c>
      <c r="F23" s="17">
        <f>MAX(F19,F20,F21)</f>
        <v>0.4640017073839906</v>
      </c>
      <c r="H23" s="15"/>
      <c r="I23" s="7"/>
      <c r="J23" s="16"/>
      <c r="K23" s="8"/>
      <c r="L23" s="7" t="s">
        <v>47</v>
      </c>
      <c r="M23" s="17">
        <f>MAX(M19,M20,M21)</f>
        <v>0.43453489192438</v>
      </c>
    </row>
    <row r="25" spans="1:13" x14ac:dyDescent="0.15">
      <c r="A25" s="13">
        <f>D5/D8</f>
        <v>0.19822921790457454</v>
      </c>
      <c r="B25" s="8">
        <f>(B5*D5)/E8</f>
        <v>0</v>
      </c>
      <c r="C25" s="8"/>
      <c r="D25" s="7"/>
      <c r="E25" s="7"/>
      <c r="F25" s="14" t="s">
        <v>49</v>
      </c>
      <c r="H25" s="13">
        <f>D5/D8</f>
        <v>0.19822921790457454</v>
      </c>
      <c r="I25" s="18">
        <f>1/(1+((0.42*F$1^2*G$8)/(12*E$8)))</f>
        <v>0.56373425846037306</v>
      </c>
      <c r="J25" s="8">
        <f>(B5*D5)/E8</f>
        <v>0</v>
      </c>
      <c r="K25" s="7"/>
      <c r="L25" s="7"/>
      <c r="M25" s="14" t="s">
        <v>49</v>
      </c>
    </row>
    <row r="26" spans="1:13" x14ac:dyDescent="0.15">
      <c r="A26" s="15" t="s">
        <v>32</v>
      </c>
      <c r="B26" s="7">
        <v>3</v>
      </c>
      <c r="C26" s="16" t="s">
        <v>33</v>
      </c>
      <c r="D26" s="8">
        <f t="shared" ref="D26:D29" si="3">A$25+B$25*B26</f>
        <v>0.19822921790457454</v>
      </c>
      <c r="E26" s="7" t="s">
        <v>34</v>
      </c>
      <c r="F26" s="17">
        <f>1.2*0.5*(D26+D27)</f>
        <v>0.23787506148548943</v>
      </c>
      <c r="H26" s="15" t="s">
        <v>32</v>
      </c>
      <c r="I26" s="7">
        <v>3</v>
      </c>
      <c r="J26" s="16" t="s">
        <v>33</v>
      </c>
      <c r="K26" s="8">
        <f>H$25+I$25*J$25*I26</f>
        <v>0.19822921790457454</v>
      </c>
      <c r="L26" s="7" t="s">
        <v>34</v>
      </c>
      <c r="M26" s="17">
        <f>1.2*0.5*(K26+K27)</f>
        <v>0.23787506148548943</v>
      </c>
    </row>
    <row r="27" spans="1:13" x14ac:dyDescent="0.15">
      <c r="A27" s="15" t="s">
        <v>35</v>
      </c>
      <c r="B27" s="7">
        <v>1.2</v>
      </c>
      <c r="C27" s="16" t="s">
        <v>36</v>
      </c>
      <c r="D27" s="8">
        <f t="shared" si="3"/>
        <v>0.19822921790457454</v>
      </c>
      <c r="E27" s="7" t="s">
        <v>37</v>
      </c>
      <c r="F27" s="17">
        <f>0.5*(D26+D27+D28+D29)</f>
        <v>0.39645843580914908</v>
      </c>
      <c r="H27" s="15" t="s">
        <v>35</v>
      </c>
      <c r="I27" s="7">
        <v>1.2</v>
      </c>
      <c r="J27" s="16" t="s">
        <v>36</v>
      </c>
      <c r="K27" s="8">
        <f>H$25+I$25*J$25*I27</f>
        <v>0.19822921790457454</v>
      </c>
      <c r="L27" s="7" t="s">
        <v>37</v>
      </c>
      <c r="M27" s="17">
        <f>0.5*(K26+K27+K28+K29)</f>
        <v>0.39645843580914908</v>
      </c>
    </row>
    <row r="28" spans="1:13" x14ac:dyDescent="0.15">
      <c r="A28" s="15" t="s">
        <v>38</v>
      </c>
      <c r="B28" s="7">
        <v>-0.1</v>
      </c>
      <c r="C28" s="16" t="s">
        <v>39</v>
      </c>
      <c r="D28" s="8">
        <f t="shared" si="3"/>
        <v>0.19822921790457454</v>
      </c>
      <c r="E28" s="7"/>
      <c r="F28" s="17"/>
      <c r="H28" s="15" t="s">
        <v>38</v>
      </c>
      <c r="I28" s="7">
        <v>-0.1</v>
      </c>
      <c r="J28" s="16" t="s">
        <v>39</v>
      </c>
      <c r="K28" s="8">
        <f>H$25+I$25*J$25*I28</f>
        <v>0.19822921790457454</v>
      </c>
      <c r="L28" s="7"/>
      <c r="M28" s="17"/>
    </row>
    <row r="29" spans="1:13" x14ac:dyDescent="0.15">
      <c r="A29" s="15" t="s">
        <v>41</v>
      </c>
      <c r="B29" s="7">
        <v>-1.9</v>
      </c>
      <c r="C29" s="16" t="s">
        <v>42</v>
      </c>
      <c r="D29" s="8">
        <f t="shared" si="3"/>
        <v>0.19822921790457454</v>
      </c>
      <c r="E29" s="7"/>
      <c r="F29" s="9"/>
      <c r="H29" s="15" t="s">
        <v>41</v>
      </c>
      <c r="I29" s="7">
        <v>-1.9</v>
      </c>
      <c r="J29" s="16" t="s">
        <v>42</v>
      </c>
      <c r="K29" s="8">
        <f>H$25+I$25*J$25*I29</f>
        <v>0.19822921790457454</v>
      </c>
      <c r="L29" s="7"/>
      <c r="M29" s="9"/>
    </row>
    <row r="30" spans="1:13" x14ac:dyDescent="0.15">
      <c r="A30" s="19"/>
      <c r="B30" s="10"/>
      <c r="C30" s="20"/>
      <c r="D30" s="11"/>
      <c r="E30" s="10" t="s">
        <v>47</v>
      </c>
      <c r="F30" s="21">
        <f>MAX(F26,F27,F28)</f>
        <v>0.39645843580914908</v>
      </c>
      <c r="H30" s="19"/>
      <c r="I30" s="10"/>
      <c r="J30" s="20"/>
      <c r="K30" s="11"/>
      <c r="L30" s="10" t="s">
        <v>47</v>
      </c>
      <c r="M30" s="21">
        <f>MAX(M26,M27,M28)</f>
        <v>0.39645843580914908</v>
      </c>
    </row>
  </sheetData>
  <mergeCells count="2">
    <mergeCell ref="A10:F10"/>
    <mergeCell ref="H10:M10"/>
  </mergeCells>
  <phoneticPr fontId="5" type="noConversion"/>
  <pageMargins left="0.75" right="0.75" top="1" bottom="1" header="0.51180555555555596" footer="0.51180555555555596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n=8</vt:lpstr>
      <vt:lpstr>n=7</vt:lpstr>
      <vt:lpstr>n=6</vt:lpstr>
      <vt:lpstr>n=5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xiaoshi</cp:lastModifiedBy>
  <dcterms:created xsi:type="dcterms:W3CDTF">2018-02-27T11:14:00Z</dcterms:created>
  <dcterms:modified xsi:type="dcterms:W3CDTF">2018-04-13T14:13:10Z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</Properties>
</file>