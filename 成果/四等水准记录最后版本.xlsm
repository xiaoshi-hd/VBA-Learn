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0730" windowHeight="11760"/>
  </bookViews>
  <sheets>
    <sheet name="一测站观测记录表计算" sheetId="1" r:id="rId1"/>
    <sheet name="闭合水准路线高程平差计算" sheetId="2" r:id="rId2"/>
    <sheet name="水准测量主要技术要求" sheetId="3" r:id="rId3"/>
  </sheets>
  <calcPr calcId="144525" iterate="1"/>
</workbook>
</file>

<file path=xl/calcChain.xml><?xml version="1.0" encoding="utf-8"?>
<calcChain xmlns="http://schemas.openxmlformats.org/spreadsheetml/2006/main">
  <c r="D85" i="2" l="1"/>
  <c r="D82" i="2"/>
  <c r="C82" i="2"/>
  <c r="F79" i="2"/>
  <c r="E130" i="1"/>
  <c r="C130" i="1"/>
  <c r="K129" i="1"/>
  <c r="J129" i="1"/>
  <c r="I129" i="1"/>
  <c r="H129" i="1"/>
  <c r="E129" i="1"/>
  <c r="C129" i="1"/>
  <c r="N128" i="1"/>
  <c r="J128" i="1"/>
  <c r="N127" i="1"/>
  <c r="J127" i="1"/>
  <c r="E126" i="1"/>
  <c r="C126" i="1"/>
  <c r="K125" i="1"/>
  <c r="J125" i="1"/>
  <c r="I125" i="1"/>
  <c r="H125" i="1"/>
  <c r="E125" i="1"/>
  <c r="C125" i="1"/>
  <c r="N124" i="1"/>
  <c r="J124" i="1"/>
  <c r="N123" i="1"/>
  <c r="J123" i="1"/>
  <c r="E122" i="1"/>
  <c r="C122" i="1"/>
  <c r="K121" i="1"/>
  <c r="J121" i="1"/>
  <c r="I121" i="1"/>
  <c r="H121" i="1"/>
  <c r="E121" i="1"/>
  <c r="C121" i="1"/>
  <c r="N120" i="1"/>
  <c r="J120" i="1"/>
  <c r="N119" i="1"/>
  <c r="J119" i="1"/>
  <c r="E118" i="1"/>
  <c r="C118" i="1"/>
  <c r="K117" i="1"/>
  <c r="J117" i="1"/>
  <c r="I117" i="1"/>
  <c r="H117" i="1"/>
  <c r="E117" i="1"/>
  <c r="C117" i="1"/>
  <c r="N116" i="1"/>
  <c r="J116" i="1"/>
  <c r="N115" i="1"/>
  <c r="J115" i="1"/>
  <c r="E114" i="1"/>
  <c r="C114" i="1"/>
  <c r="K113" i="1"/>
  <c r="J113" i="1"/>
  <c r="I113" i="1"/>
  <c r="H113" i="1"/>
  <c r="E113" i="1"/>
  <c r="C113" i="1"/>
  <c r="N112" i="1"/>
  <c r="J112" i="1"/>
  <c r="N111" i="1"/>
  <c r="J111" i="1"/>
  <c r="E110" i="1"/>
  <c r="C110" i="1"/>
  <c r="K109" i="1"/>
  <c r="J109" i="1"/>
  <c r="I109" i="1"/>
  <c r="H109" i="1"/>
  <c r="E109" i="1"/>
  <c r="C109" i="1"/>
  <c r="N108" i="1"/>
  <c r="J108" i="1"/>
  <c r="N107" i="1"/>
  <c r="J107" i="1"/>
  <c r="E106" i="1"/>
  <c r="C106" i="1"/>
  <c r="K105" i="1"/>
  <c r="J105" i="1"/>
  <c r="I105" i="1"/>
  <c r="H105" i="1"/>
  <c r="E105" i="1"/>
  <c r="C105" i="1"/>
  <c r="N104" i="1"/>
  <c r="J104" i="1"/>
  <c r="N103" i="1"/>
  <c r="J103" i="1"/>
  <c r="E102" i="1"/>
  <c r="C102" i="1"/>
  <c r="K101" i="1"/>
  <c r="J101" i="1"/>
  <c r="I101" i="1"/>
  <c r="H101" i="1"/>
  <c r="E101" i="1"/>
  <c r="C101" i="1"/>
  <c r="N100" i="1"/>
  <c r="J100" i="1"/>
  <c r="N99" i="1"/>
  <c r="J99" i="1"/>
  <c r="E98" i="1"/>
  <c r="C98" i="1"/>
  <c r="K97" i="1"/>
  <c r="J97" i="1"/>
  <c r="I97" i="1"/>
  <c r="H97" i="1"/>
  <c r="E97" i="1"/>
  <c r="C97" i="1"/>
  <c r="N96" i="1"/>
  <c r="J96" i="1"/>
  <c r="N95" i="1"/>
  <c r="J95" i="1"/>
  <c r="E94" i="1"/>
  <c r="C94" i="1"/>
  <c r="K93" i="1"/>
  <c r="J93" i="1"/>
  <c r="I93" i="1"/>
  <c r="H93" i="1"/>
  <c r="E93" i="1"/>
  <c r="C93" i="1"/>
  <c r="N92" i="1"/>
  <c r="J92" i="1"/>
  <c r="N91" i="1"/>
  <c r="J91" i="1"/>
  <c r="E90" i="1"/>
  <c r="C90" i="1"/>
  <c r="K89" i="1"/>
  <c r="J89" i="1"/>
  <c r="I89" i="1"/>
  <c r="H89" i="1"/>
  <c r="E89" i="1"/>
  <c r="C89" i="1"/>
  <c r="N88" i="1"/>
  <c r="J88" i="1"/>
  <c r="N87" i="1"/>
  <c r="J87" i="1"/>
  <c r="E86" i="1"/>
  <c r="C86" i="1"/>
  <c r="K85" i="1"/>
  <c r="J85" i="1"/>
  <c r="I85" i="1"/>
  <c r="H85" i="1"/>
  <c r="E85" i="1"/>
  <c r="C85" i="1"/>
  <c r="N84" i="1"/>
  <c r="J84" i="1"/>
  <c r="N83" i="1"/>
  <c r="J83" i="1"/>
  <c r="E82" i="1"/>
  <c r="C82" i="1"/>
  <c r="K81" i="1"/>
  <c r="J81" i="1"/>
  <c r="I81" i="1"/>
  <c r="H81" i="1"/>
  <c r="E81" i="1"/>
  <c r="C81" i="1"/>
  <c r="N80" i="1"/>
  <c r="J80" i="1"/>
  <c r="N79" i="1"/>
  <c r="J79" i="1"/>
  <c r="E78" i="1"/>
  <c r="C78" i="1"/>
  <c r="K77" i="1"/>
  <c r="J77" i="1"/>
  <c r="I77" i="1"/>
  <c r="H77" i="1"/>
  <c r="E77" i="1"/>
  <c r="C77" i="1"/>
  <c r="N76" i="1"/>
  <c r="J76" i="1"/>
  <c r="N75" i="1"/>
  <c r="J75" i="1"/>
  <c r="E74" i="1"/>
  <c r="C74" i="1"/>
  <c r="K73" i="1"/>
  <c r="J73" i="1"/>
  <c r="I73" i="1"/>
  <c r="H73" i="1"/>
  <c r="E73" i="1"/>
  <c r="C73" i="1"/>
  <c r="N72" i="1"/>
  <c r="J72" i="1"/>
  <c r="N71" i="1"/>
  <c r="J71" i="1"/>
  <c r="E70" i="1"/>
  <c r="C70" i="1"/>
  <c r="K69" i="1"/>
  <c r="J69" i="1"/>
  <c r="I69" i="1"/>
  <c r="H69" i="1"/>
  <c r="E69" i="1"/>
  <c r="C69" i="1"/>
  <c r="N68" i="1"/>
  <c r="J68" i="1"/>
  <c r="N67" i="1"/>
  <c r="J67" i="1"/>
  <c r="E66" i="1"/>
  <c r="C66" i="1"/>
  <c r="K65" i="1"/>
  <c r="J65" i="1"/>
  <c r="I65" i="1"/>
  <c r="H65" i="1"/>
  <c r="E65" i="1"/>
  <c r="C65" i="1"/>
  <c r="N64" i="1"/>
  <c r="J64" i="1"/>
  <c r="N63" i="1"/>
  <c r="J63" i="1"/>
  <c r="E62" i="1"/>
  <c r="C62" i="1"/>
  <c r="K61" i="1"/>
  <c r="J61" i="1"/>
  <c r="I61" i="1"/>
  <c r="H61" i="1"/>
  <c r="E61" i="1"/>
  <c r="C61" i="1"/>
  <c r="N60" i="1"/>
  <c r="J60" i="1"/>
  <c r="N59" i="1"/>
  <c r="J59" i="1"/>
  <c r="E58" i="1"/>
  <c r="C58" i="1"/>
  <c r="K57" i="1"/>
  <c r="J57" i="1"/>
  <c r="I57" i="1"/>
  <c r="H57" i="1"/>
  <c r="E57" i="1"/>
  <c r="C57" i="1"/>
  <c r="N56" i="1"/>
  <c r="J56" i="1"/>
  <c r="N55" i="1"/>
  <c r="J55" i="1"/>
  <c r="E54" i="1"/>
  <c r="C54" i="1"/>
  <c r="K53" i="1"/>
  <c r="J53" i="1"/>
  <c r="I53" i="1"/>
  <c r="H53" i="1"/>
  <c r="E53" i="1"/>
  <c r="C53" i="1"/>
  <c r="N52" i="1"/>
  <c r="J52" i="1"/>
  <c r="N51" i="1"/>
  <c r="J51" i="1"/>
  <c r="E50" i="1"/>
  <c r="C50" i="1"/>
  <c r="K49" i="1"/>
  <c r="J49" i="1"/>
  <c r="I49" i="1"/>
  <c r="H49" i="1"/>
  <c r="E49" i="1"/>
  <c r="C49" i="1"/>
  <c r="N48" i="1"/>
  <c r="J48" i="1"/>
  <c r="N47" i="1"/>
  <c r="J47" i="1"/>
  <c r="E46" i="1"/>
  <c r="C46" i="1"/>
  <c r="K45" i="1"/>
  <c r="J45" i="1"/>
  <c r="I45" i="1"/>
  <c r="H45" i="1"/>
  <c r="E45" i="1"/>
  <c r="C45" i="1"/>
  <c r="N44" i="1"/>
  <c r="J44" i="1"/>
  <c r="N43" i="1"/>
  <c r="J43" i="1"/>
  <c r="E42" i="1"/>
  <c r="C42" i="1"/>
  <c r="K41" i="1"/>
  <c r="J41" i="1"/>
  <c r="I41" i="1"/>
  <c r="H41" i="1"/>
  <c r="E41" i="1"/>
  <c r="C41" i="1"/>
  <c r="N40" i="1"/>
  <c r="J40" i="1"/>
  <c r="N39" i="1"/>
  <c r="J39" i="1"/>
  <c r="E38" i="1"/>
  <c r="C38" i="1"/>
  <c r="K37" i="1"/>
  <c r="J37" i="1"/>
  <c r="I37" i="1"/>
  <c r="H37" i="1"/>
  <c r="E37" i="1"/>
  <c r="C37" i="1"/>
  <c r="N36" i="1"/>
  <c r="J36" i="1"/>
  <c r="N35" i="1"/>
  <c r="J35" i="1"/>
  <c r="E34" i="1"/>
  <c r="C34" i="1"/>
  <c r="K33" i="1"/>
  <c r="J33" i="1"/>
  <c r="I33" i="1"/>
  <c r="H33" i="1"/>
  <c r="E33" i="1"/>
  <c r="C33" i="1"/>
  <c r="N32" i="1"/>
  <c r="J32" i="1"/>
  <c r="N31" i="1"/>
  <c r="J31" i="1"/>
  <c r="E30" i="1"/>
  <c r="C30" i="1"/>
  <c r="K29" i="1"/>
  <c r="J29" i="1"/>
  <c r="I29" i="1"/>
  <c r="H29" i="1"/>
  <c r="E29" i="1"/>
  <c r="C29" i="1"/>
  <c r="N28" i="1"/>
  <c r="J28" i="1"/>
  <c r="N27" i="1"/>
  <c r="J27" i="1"/>
  <c r="E26" i="1"/>
  <c r="C26" i="1"/>
  <c r="K25" i="1"/>
  <c r="J25" i="1"/>
  <c r="I25" i="1"/>
  <c r="H25" i="1"/>
  <c r="E25" i="1"/>
  <c r="C25" i="1"/>
  <c r="N24" i="1"/>
  <c r="J24" i="1"/>
  <c r="N23" i="1"/>
  <c r="J23" i="1"/>
  <c r="E22" i="1"/>
  <c r="C22" i="1"/>
  <c r="K21" i="1"/>
  <c r="J21" i="1"/>
  <c r="I21" i="1"/>
  <c r="H21" i="1"/>
  <c r="E21" i="1"/>
  <c r="C21" i="1"/>
  <c r="N20" i="1"/>
  <c r="J20" i="1"/>
  <c r="N19" i="1"/>
  <c r="J19" i="1"/>
  <c r="E18" i="1"/>
  <c r="C18" i="1"/>
  <c r="K17" i="1"/>
  <c r="J17" i="1"/>
  <c r="I17" i="1"/>
  <c r="H17" i="1"/>
  <c r="E17" i="1"/>
  <c r="C17" i="1"/>
  <c r="N16" i="1"/>
  <c r="J16" i="1"/>
  <c r="N15" i="1"/>
  <c r="J15" i="1"/>
  <c r="I13" i="1"/>
  <c r="H13" i="1"/>
  <c r="E13" i="1"/>
  <c r="C13" i="1"/>
  <c r="N12" i="1"/>
  <c r="J12" i="1"/>
  <c r="N11" i="1"/>
  <c r="J11" i="1"/>
  <c r="K13" i="1" l="1"/>
  <c r="J13" i="1"/>
  <c r="C14" i="1"/>
  <c r="E14" i="1" s="1"/>
  <c r="E3" i="2"/>
  <c r="F3" i="2"/>
  <c r="H3" i="2"/>
  <c r="G4" i="2"/>
  <c r="E5" i="2"/>
  <c r="F5" i="2"/>
  <c r="H5" i="2"/>
  <c r="G6" i="2"/>
  <c r="E7" i="2"/>
  <c r="F7" i="2"/>
  <c r="H7" i="2"/>
  <c r="G8" i="2"/>
  <c r="E9" i="2"/>
  <c r="F9" i="2"/>
  <c r="H9" i="2"/>
  <c r="E11" i="2"/>
  <c r="F11" i="2"/>
  <c r="H11" i="2"/>
  <c r="E13" i="2"/>
  <c r="F13" i="2"/>
  <c r="H13" i="2"/>
  <c r="G14" i="2"/>
  <c r="E15" i="2"/>
  <c r="F15" i="2"/>
  <c r="H15" i="2"/>
  <c r="G16" i="2"/>
  <c r="E17" i="2"/>
  <c r="F17" i="2"/>
  <c r="H17" i="2"/>
  <c r="G18" i="2"/>
  <c r="E19" i="2"/>
  <c r="F19" i="2"/>
  <c r="H19" i="2"/>
  <c r="G20" i="2"/>
  <c r="E21" i="2"/>
  <c r="F21" i="2"/>
  <c r="H21" i="2"/>
  <c r="G22" i="2"/>
  <c r="E23" i="2"/>
  <c r="F23" i="2"/>
  <c r="H23" i="2"/>
  <c r="G24" i="2"/>
  <c r="E25" i="2"/>
  <c r="F25" i="2"/>
  <c r="H25" i="2"/>
  <c r="G26" i="2"/>
  <c r="E27" i="2"/>
  <c r="F27" i="2"/>
  <c r="H27" i="2"/>
  <c r="G28" i="2"/>
  <c r="E29" i="2"/>
  <c r="F29" i="2"/>
  <c r="H29" i="2"/>
  <c r="G30" i="2"/>
  <c r="E31" i="2"/>
  <c r="F31" i="2"/>
  <c r="H31" i="2"/>
  <c r="G32" i="2"/>
  <c r="E33" i="2"/>
  <c r="F33" i="2"/>
  <c r="H33" i="2"/>
  <c r="G34" i="2"/>
  <c r="E35" i="2"/>
  <c r="F35" i="2"/>
  <c r="H35" i="2"/>
  <c r="G36" i="2"/>
  <c r="E37" i="2"/>
  <c r="F37" i="2"/>
  <c r="H37" i="2"/>
  <c r="G38" i="2"/>
  <c r="E39" i="2"/>
  <c r="F39" i="2"/>
  <c r="H39" i="2"/>
  <c r="G40" i="2"/>
  <c r="E41" i="2"/>
  <c r="F41" i="2"/>
  <c r="H41" i="2"/>
  <c r="G42" i="2"/>
  <c r="E43" i="2"/>
  <c r="F43" i="2"/>
  <c r="H43" i="2"/>
  <c r="G44" i="2"/>
  <c r="E45" i="2"/>
  <c r="F45" i="2"/>
  <c r="H45" i="2"/>
  <c r="G46" i="2"/>
  <c r="E47" i="2"/>
  <c r="F47" i="2"/>
  <c r="H47" i="2"/>
  <c r="G48" i="2"/>
  <c r="E49" i="2"/>
  <c r="F49" i="2"/>
  <c r="H49" i="2"/>
  <c r="G50" i="2"/>
  <c r="E51" i="2"/>
  <c r="F51" i="2"/>
  <c r="H51" i="2"/>
  <c r="G52" i="2"/>
  <c r="E53" i="2"/>
  <c r="F53" i="2"/>
  <c r="H53" i="2"/>
  <c r="G54" i="2"/>
  <c r="E55" i="2"/>
  <c r="F55" i="2"/>
  <c r="H55" i="2"/>
  <c r="G56" i="2"/>
  <c r="E57" i="2"/>
  <c r="F57" i="2"/>
  <c r="H57" i="2"/>
  <c r="G58" i="2"/>
  <c r="E59" i="2"/>
  <c r="F59" i="2"/>
  <c r="H59" i="2"/>
  <c r="G60" i="2"/>
  <c r="E61" i="2"/>
  <c r="F61" i="2"/>
  <c r="H61" i="2"/>
  <c r="G62" i="2"/>
  <c r="E63" i="2"/>
  <c r="F63" i="2"/>
  <c r="H63" i="2"/>
  <c r="G64" i="2"/>
  <c r="E65" i="2"/>
  <c r="F65" i="2"/>
  <c r="H65" i="2"/>
  <c r="G66" i="2"/>
  <c r="E67" i="2"/>
  <c r="F67" i="2"/>
  <c r="H67" i="2"/>
  <c r="G68" i="2"/>
  <c r="E69" i="2"/>
  <c r="F69" i="2"/>
  <c r="H69" i="2"/>
  <c r="G70" i="2"/>
  <c r="E71" i="2"/>
  <c r="F71" i="2"/>
  <c r="H71" i="2"/>
  <c r="G72" i="2"/>
  <c r="E73" i="2"/>
  <c r="F73" i="2"/>
  <c r="H73" i="2"/>
  <c r="G74" i="2"/>
  <c r="E75" i="2"/>
  <c r="F75" i="2"/>
  <c r="H75" i="2"/>
  <c r="G76" i="2"/>
  <c r="E77" i="2"/>
  <c r="F77" i="2"/>
  <c r="H77" i="2"/>
  <c r="G78" i="2"/>
  <c r="E82" i="2"/>
  <c r="F82" i="2"/>
  <c r="D84" i="2"/>
  <c r="G84" i="2"/>
  <c r="D86" i="2"/>
  <c r="F86" i="2"/>
  <c r="I87" i="2"/>
  <c r="G89" i="2"/>
  <c r="F93" i="2"/>
</calcChain>
</file>

<file path=xl/sharedStrings.xml><?xml version="1.0" encoding="utf-8"?>
<sst xmlns="http://schemas.openxmlformats.org/spreadsheetml/2006/main" count="270" uniqueCount="125">
  <si>
    <t>三、四等水准测量一测站计算表</t>
  </si>
  <si>
    <t>测</t>
  </si>
  <si>
    <t>后</t>
  </si>
  <si>
    <t>下丝</t>
  </si>
  <si>
    <t>前</t>
  </si>
  <si>
    <r>
      <rPr>
        <sz val="12"/>
        <rFont val="宋体"/>
        <charset val="134"/>
      </rPr>
      <t>水准尺读数（</t>
    </r>
    <r>
      <rPr>
        <sz val="12"/>
        <rFont val="Times New Roman"/>
        <family val="1"/>
      </rPr>
      <t>m</t>
    </r>
    <r>
      <rPr>
        <sz val="12"/>
        <rFont val="宋体"/>
        <charset val="134"/>
      </rPr>
      <t>）</t>
    </r>
  </si>
  <si>
    <t>备注</t>
  </si>
  <si>
    <t>尺</t>
  </si>
  <si>
    <t>站</t>
  </si>
  <si>
    <t>点</t>
  </si>
  <si>
    <t>上丝</t>
  </si>
  <si>
    <r>
      <rPr>
        <sz val="12"/>
        <rFont val="Times New Roman"/>
        <family val="1"/>
      </rPr>
      <t>K+</t>
    </r>
    <r>
      <rPr>
        <sz val="12"/>
        <rFont val="宋体"/>
        <charset val="134"/>
      </rPr>
      <t>黑减红</t>
    </r>
  </si>
  <si>
    <t>高差中数</t>
  </si>
  <si>
    <t>编</t>
  </si>
  <si>
    <t>后视距</t>
  </si>
  <si>
    <t>黑面</t>
  </si>
  <si>
    <t>红面</t>
  </si>
  <si>
    <t>(mm)</t>
  </si>
  <si>
    <t>号</t>
  </si>
  <si>
    <r>
      <rPr>
        <sz val="12"/>
        <rFont val="宋体"/>
        <charset val="134"/>
      </rPr>
      <t>视距差</t>
    </r>
    <r>
      <rPr>
        <sz val="12"/>
        <rFont val="Times New Roman"/>
        <family val="1"/>
      </rPr>
      <t>d</t>
    </r>
  </si>
  <si>
    <r>
      <rPr>
        <sz val="12"/>
        <rFont val="宋体"/>
        <charset val="134"/>
      </rPr>
      <t>Σ</t>
    </r>
    <r>
      <rPr>
        <sz val="12"/>
        <rFont val="Times New Roman"/>
        <family val="1"/>
      </rPr>
      <t>d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</si>
  <si>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</si>
  <si>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5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</si>
  <si>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3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</si>
  <si>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4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</si>
  <si>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13</t>
    </r>
    <r>
      <rPr>
        <sz val="12"/>
        <rFont val="宋体"/>
        <charset val="134"/>
      </rPr>
      <t>）</t>
    </r>
  </si>
  <si>
    <t>k=</t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</si>
  <si>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2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</si>
  <si>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6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</si>
  <si>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7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</si>
  <si>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8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</si>
  <si>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14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</si>
  <si>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9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</si>
  <si>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10</t>
    </r>
    <r>
      <rPr>
        <sz val="12"/>
        <rFont val="宋体"/>
        <charset val="134"/>
      </rPr>
      <t>）</t>
    </r>
  </si>
  <si>
    <t>后→前</t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</si>
  <si>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15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</si>
  <si>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16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</si>
  <si>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17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</si>
  <si>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18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</si>
  <si>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11</t>
    </r>
    <r>
      <rPr>
        <sz val="12"/>
        <rFont val="宋体"/>
        <charset val="134"/>
      </rPr>
      <t>）</t>
    </r>
  </si>
  <si>
    <r>
      <rPr>
        <sz val="12"/>
        <rFont val="宋体"/>
        <charset val="134"/>
      </rPr>
      <t>（</t>
    </r>
    <r>
      <rPr>
        <sz val="12"/>
        <rFont val="Times New Roman"/>
        <family val="1"/>
      </rPr>
      <t>12</t>
    </r>
    <r>
      <rPr>
        <sz val="12"/>
        <rFont val="宋体"/>
        <charset val="134"/>
      </rPr>
      <t>）</t>
    </r>
  </si>
  <si>
    <t xml:space="preserve"> </t>
  </si>
  <si>
    <t>↓</t>
  </si>
  <si>
    <t>检核</t>
  </si>
  <si>
    <t>四等水准测量限差要求：</t>
  </si>
  <si>
    <t xml:space="preserve">黑红面读数差限差为           </t>
  </si>
  <si>
    <t>3mm</t>
  </si>
  <si>
    <t xml:space="preserve">黑红面所测高差之差限差为      </t>
  </si>
  <si>
    <t>5mm</t>
  </si>
  <si>
    <t xml:space="preserve">后前视距差       </t>
  </si>
  <si>
    <t>3m</t>
  </si>
  <si>
    <t>后前视距累计差</t>
  </si>
  <si>
    <t>10m</t>
  </si>
  <si>
    <t>以上四个限差均内置到函数中！</t>
  </si>
  <si>
    <r>
      <rPr>
        <sz val="12"/>
        <rFont val="宋体"/>
        <charset val="134"/>
      </rPr>
      <t>本程序能实现3</t>
    </r>
    <r>
      <rPr>
        <sz val="12"/>
        <rFont val="宋体"/>
        <charset val="134"/>
      </rPr>
      <t>0站水准测量，如需更多站，可复制。</t>
    </r>
  </si>
  <si>
    <t>闭合水准路线成果计算表</t>
  </si>
  <si>
    <t>测段</t>
  </si>
  <si>
    <t>点号</t>
  </si>
  <si>
    <t>路线长度(Km)</t>
  </si>
  <si>
    <t>实测高差(m)</t>
  </si>
  <si>
    <t>改正数(mm)</t>
  </si>
  <si>
    <t>改正后高差(m)</t>
  </si>
  <si>
    <t>高程(m)</t>
  </si>
  <si>
    <t>改正数</t>
  </si>
  <si>
    <t>D0414</t>
  </si>
  <si>
    <t>D0415-1</t>
  </si>
  <si>
    <t>D0416-1</t>
  </si>
  <si>
    <t>D0501</t>
  </si>
  <si>
    <t>`</t>
  </si>
  <si>
    <t>∑</t>
  </si>
  <si>
    <t>辅助计算</t>
  </si>
  <si>
    <t>fh=</t>
  </si>
  <si>
    <t>mm</t>
  </si>
  <si>
    <t>分配合理</t>
  </si>
  <si>
    <t>fh容=±20√L=±</t>
  </si>
  <si>
    <t>fh容-fh=</t>
  </si>
  <si>
    <r>
      <rPr>
        <sz val="12"/>
        <rFont val="宋体"/>
        <charset val="134"/>
      </rPr>
      <t>m</t>
    </r>
    <r>
      <rPr>
        <sz val="12"/>
        <rFont val="宋体"/>
        <charset val="134"/>
      </rPr>
      <t>m</t>
    </r>
  </si>
  <si>
    <t>规范四等水准测量精度要求</t>
  </si>
  <si>
    <r>
      <rPr>
        <sz val="12"/>
        <rFont val="Times New Roman"/>
        <family val="1"/>
      </rPr>
      <t xml:space="preserve">      </t>
    </r>
    <r>
      <rPr>
        <sz val="12"/>
        <rFont val="宋体"/>
        <charset val="134"/>
      </rPr>
      <t>计算:</t>
    </r>
  </si>
  <si>
    <r>
      <rPr>
        <sz val="12"/>
        <rFont val="Times New Roman"/>
        <family val="1"/>
      </rPr>
      <t xml:space="preserve">          </t>
    </r>
    <r>
      <rPr>
        <sz val="12"/>
        <rFont val="宋体"/>
        <charset val="134"/>
      </rPr>
      <t>监理:</t>
    </r>
  </si>
  <si>
    <t>水准测量主要技术要求</t>
  </si>
  <si>
    <t>等级</t>
  </si>
  <si>
    <t>每公里高差</t>
  </si>
  <si>
    <t>路线长度</t>
  </si>
  <si>
    <t>水准仪</t>
  </si>
  <si>
    <t>水准尺</t>
  </si>
  <si>
    <t>观测次数</t>
  </si>
  <si>
    <t>往返较差，复合或环线闭合差</t>
  </si>
  <si>
    <t>中误差(mm)</t>
  </si>
  <si>
    <t>(km)</t>
  </si>
  <si>
    <t>的型号</t>
  </si>
  <si>
    <t>与已知点连测</t>
  </si>
  <si>
    <t>复合路线或环线</t>
  </si>
  <si>
    <t>平地（mm）</t>
  </si>
  <si>
    <t>山地（mm）</t>
  </si>
  <si>
    <t>二等</t>
  </si>
  <si>
    <t>—</t>
  </si>
  <si>
    <r>
      <rPr>
        <sz val="12"/>
        <rFont val="宋体"/>
        <charset val="134"/>
      </rPr>
      <t>DS</t>
    </r>
    <r>
      <rPr>
        <vertAlign val="subscript"/>
        <sz val="12"/>
        <rFont val="宋体"/>
        <charset val="134"/>
      </rPr>
      <t>1</t>
    </r>
  </si>
  <si>
    <t>因瓦</t>
  </si>
  <si>
    <t>往返各一次</t>
  </si>
  <si>
    <t>4√L</t>
  </si>
  <si>
    <t>√n</t>
  </si>
  <si>
    <t>三等</t>
  </si>
  <si>
    <t>≤50</t>
  </si>
  <si>
    <t>往一次</t>
  </si>
  <si>
    <t>12√L</t>
  </si>
  <si>
    <t>4√n</t>
  </si>
  <si>
    <r>
      <rPr>
        <sz val="12"/>
        <rFont val="宋体"/>
        <charset val="134"/>
      </rPr>
      <t>DS</t>
    </r>
    <r>
      <rPr>
        <vertAlign val="subscript"/>
        <sz val="12"/>
        <rFont val="宋体"/>
        <charset val="134"/>
      </rPr>
      <t>3</t>
    </r>
  </si>
  <si>
    <t>双面</t>
  </si>
  <si>
    <t>四等</t>
  </si>
  <si>
    <t>≤16</t>
  </si>
  <si>
    <t>20√L</t>
  </si>
  <si>
    <t>6√n</t>
  </si>
  <si>
    <t>五等</t>
  </si>
  <si>
    <t>单面</t>
  </si>
  <si>
    <t>30√L</t>
  </si>
  <si>
    <t>图根</t>
  </si>
  <si>
    <t>≤5</t>
  </si>
  <si>
    <r>
      <rPr>
        <sz val="12"/>
        <rFont val="宋体"/>
        <charset val="134"/>
      </rPr>
      <t>DS</t>
    </r>
    <r>
      <rPr>
        <vertAlign val="subscript"/>
        <sz val="12"/>
        <rFont val="宋体"/>
        <charset val="134"/>
      </rPr>
      <t>10</t>
    </r>
  </si>
  <si>
    <t>40√L</t>
  </si>
  <si>
    <t>12√n</t>
  </si>
  <si>
    <t>(m)</t>
    <phoneticPr fontId="11" type="noConversion"/>
  </si>
  <si>
    <r>
      <t>尺</t>
    </r>
    <r>
      <rPr>
        <sz val="12"/>
        <rFont val="宋体"/>
        <charset val="134"/>
      </rPr>
      <t>号及方向</t>
    </r>
    <phoneticPr fontId="11" type="noConversion"/>
  </si>
  <si>
    <r>
      <t>k</t>
    </r>
    <r>
      <rPr>
        <sz val="10"/>
        <rFont val="宋体"/>
        <family val="3"/>
        <charset val="134"/>
      </rPr>
      <t>为后视尺常数</t>
    </r>
  </si>
  <si>
    <t>黄色区域为输入区域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</si>
</sst>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000"/>
    <numFmt numFmtId="177" formatCode="0;[Red]0"/>
    <numFmt numFmtId="178" formatCode="0.00_ "/>
    <numFmt numFmtId="179" formatCode="0.0_);[Red]\(0.0\)"/>
    <numFmt numFmtId="180" formatCode="0.0_ "/>
    <numFmt numFmtId="181" formatCode="0.000_);[Red]\(0.000\)"/>
    <numFmt numFmtId="182" formatCode="0.00000000000000000_);[Red]\(0.00000000000000000\)"/>
    <numFmt numFmtId="183" formatCode="0.000"/>
    <numFmt numFmtId="184" formatCode="0_);[Red]\(0\)"/>
    <numFmt numFmtId="185" formatCode="0.000_ "/>
    <numFmt numFmtId="186" formatCode="0000"/>
    <numFmt numFmtId="187" formatCode="0_ "/>
    <numFmt numFmtId="188" formatCode="0.0000_ "/>
  </numFmts>
  <fonts count="16" x14ac:knownFonts="1">
    <font>
      <sz val="12"/>
      <name val="宋体"/>
      <charset val="134"/>
    </font>
    <font>
      <sz val="12"/>
      <name val="Times New Roman"/>
      <family val="1"/>
    </font>
    <font>
      <sz val="12"/>
      <name val="宋体"/>
      <charset val="134"/>
    </font>
    <font>
      <b/>
      <sz val="16"/>
      <name val="宋体"/>
      <charset val="134"/>
    </font>
    <font>
      <b/>
      <sz val="18"/>
      <name val="宋体"/>
      <charset val="134"/>
    </font>
    <font>
      <u/>
      <sz val="12"/>
      <name val="宋体"/>
      <charset val="134"/>
    </font>
    <font>
      <sz val="12"/>
      <color indexed="8"/>
      <name val="宋体"/>
      <charset val="134"/>
    </font>
    <font>
      <b/>
      <sz val="14"/>
      <name val="宋体"/>
      <charset val="134"/>
    </font>
    <font>
      <sz val="12"/>
      <color indexed="10"/>
      <name val="宋体"/>
      <charset val="134"/>
    </font>
    <font>
      <sz val="6"/>
      <name val="宋体"/>
      <charset val="134"/>
    </font>
    <font>
      <vertAlign val="subscript"/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Times New Roman"/>
      <family val="1"/>
    </font>
    <font>
      <sz val="1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5">
    <xf numFmtId="0" fontId="0" fillId="0" borderId="0" xfId="0" applyFill="1" applyAlignment="1"/>
    <xf numFmtId="0" fontId="0" fillId="0" borderId="2" xfId="0" applyFont="1" applyFill="1" applyBorder="1" applyAlignment="1" applyProtection="1">
      <alignment horizontal="left" vertical="center"/>
      <protection locked="0"/>
    </xf>
    <xf numFmtId="0" fontId="0" fillId="0" borderId="2" xfId="0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179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NumberFormat="1" applyFill="1" applyBorder="1" applyAlignment="1" applyProtection="1">
      <alignment vertical="center"/>
      <protection locked="0"/>
    </xf>
    <xf numFmtId="0" fontId="0" fillId="0" borderId="4" xfId="0" applyFill="1" applyBorder="1" applyAlignment="1" applyProtection="1">
      <alignment vertical="center"/>
      <protection locked="0"/>
    </xf>
    <xf numFmtId="176" fontId="0" fillId="0" borderId="0" xfId="0" applyNumberFormat="1" applyFill="1" applyBorder="1" applyAlignment="1" applyProtection="1">
      <alignment horizontal="left" vertical="center"/>
      <protection locked="0"/>
    </xf>
    <xf numFmtId="0" fontId="0" fillId="0" borderId="5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6" xfId="0" applyFill="1" applyBorder="1" applyAlignment="1" applyProtection="1">
      <alignment vertical="center"/>
      <protection locked="0"/>
    </xf>
    <xf numFmtId="0" fontId="0" fillId="0" borderId="9" xfId="0" applyFill="1" applyBorder="1" applyAlignment="1"/>
    <xf numFmtId="0" fontId="0" fillId="0" borderId="9" xfId="0" applyFill="1" applyBorder="1" applyAlignment="1">
      <alignment horizontal="center"/>
    </xf>
    <xf numFmtId="0" fontId="0" fillId="0" borderId="0" xfId="0" applyFill="1" applyAlignment="1">
      <alignment horizontal="center"/>
    </xf>
    <xf numFmtId="181" fontId="0" fillId="0" borderId="0" xfId="0" applyNumberFormat="1" applyFill="1" applyAlignment="1"/>
    <xf numFmtId="184" fontId="0" fillId="0" borderId="0" xfId="0" applyNumberFormat="1" applyFill="1" applyAlignment="1"/>
    <xf numFmtId="0" fontId="0" fillId="0" borderId="0" xfId="0" applyFill="1" applyAlignment="1" applyProtection="1">
      <protection locked="0"/>
    </xf>
    <xf numFmtId="0" fontId="0" fillId="0" borderId="12" xfId="0" applyFont="1" applyFill="1" applyBorder="1" applyAlignment="1" applyProtection="1">
      <alignment horizontal="center" vertical="center"/>
      <protection locked="0"/>
    </xf>
    <xf numFmtId="0" fontId="0" fillId="0" borderId="13" xfId="0" applyFont="1" applyFill="1" applyBorder="1" applyAlignment="1" applyProtection="1">
      <alignment horizontal="center" vertical="center"/>
      <protection locked="0"/>
    </xf>
    <xf numFmtId="0" fontId="0" fillId="0" borderId="13" xfId="0" applyFont="1" applyFill="1" applyBorder="1" applyAlignment="1" applyProtection="1">
      <alignment horizontal="center" vertical="center" wrapText="1"/>
      <protection locked="0"/>
    </xf>
    <xf numFmtId="181" fontId="0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Alignment="1" applyProtection="1">
      <protection locked="0"/>
    </xf>
    <xf numFmtId="0" fontId="0" fillId="0" borderId="15" xfId="0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185" fontId="0" fillId="0" borderId="9" xfId="0" applyNumberFormat="1" applyFill="1" applyBorder="1" applyAlignment="1" applyProtection="1">
      <alignment horizontal="center" vertical="center"/>
      <protection locked="0"/>
    </xf>
    <xf numFmtId="181" fontId="5" fillId="3" borderId="17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1" fillId="0" borderId="16" xfId="0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185" fontId="0" fillId="0" borderId="0" xfId="0" applyNumberFormat="1" applyFill="1" applyBorder="1" applyAlignment="1"/>
    <xf numFmtId="185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22" xfId="0" applyFill="1" applyBorder="1" applyAlignment="1"/>
    <xf numFmtId="0" fontId="0" fillId="0" borderId="1" xfId="0" applyFill="1" applyBorder="1" applyAlignment="1">
      <alignment horizontal="right"/>
    </xf>
    <xf numFmtId="187" fontId="0" fillId="0" borderId="1" xfId="0" applyNumberFormat="1" applyFill="1" applyBorder="1" applyAlignment="1">
      <alignment horizontal="left"/>
    </xf>
    <xf numFmtId="0" fontId="0" fillId="0" borderId="1" xfId="0" applyFill="1" applyBorder="1" applyAlignment="1"/>
    <xf numFmtId="0" fontId="6" fillId="0" borderId="1" xfId="0" applyFont="1" applyFill="1" applyBorder="1" applyAlignment="1">
      <alignment horizontal="right"/>
    </xf>
    <xf numFmtId="0" fontId="0" fillId="0" borderId="23" xfId="0" applyNumberFormat="1" applyFont="1" applyFill="1" applyBorder="1" applyAlignment="1">
      <alignment horizontal="center"/>
    </xf>
    <xf numFmtId="0" fontId="0" fillId="0" borderId="2" xfId="0" applyFill="1" applyBorder="1" applyAlignment="1"/>
    <xf numFmtId="0" fontId="0" fillId="0" borderId="0" xfId="0" applyFill="1" applyBorder="1" applyAlignment="1">
      <alignment horizontal="right"/>
    </xf>
    <xf numFmtId="185" fontId="0" fillId="0" borderId="0" xfId="0" applyNumberFormat="1" applyFill="1" applyBorder="1" applyAlignment="1">
      <alignment horizontal="left" vertical="center"/>
    </xf>
    <xf numFmtId="0" fontId="0" fillId="0" borderId="0" xfId="0" applyFill="1" applyBorder="1" applyAlignment="1"/>
    <xf numFmtId="181" fontId="0" fillId="0" borderId="25" xfId="0" applyNumberFormat="1" applyFill="1" applyBorder="1" applyAlignment="1"/>
    <xf numFmtId="0" fontId="0" fillId="0" borderId="27" xfId="0" applyFill="1" applyBorder="1" applyAlignment="1"/>
    <xf numFmtId="0" fontId="2" fillId="0" borderId="11" xfId="0" applyFont="1" applyFill="1" applyBorder="1" applyAlignment="1">
      <alignment horizontal="right"/>
    </xf>
    <xf numFmtId="177" fontId="7" fillId="0" borderId="11" xfId="0" applyNumberFormat="1" applyFont="1" applyFill="1" applyBorder="1" applyAlignment="1">
      <alignment horizontal="center"/>
    </xf>
    <xf numFmtId="0" fontId="2" fillId="0" borderId="11" xfId="0" applyFont="1" applyFill="1" applyBorder="1" applyAlignment="1"/>
    <xf numFmtId="0" fontId="0" fillId="0" borderId="11" xfId="0" applyFont="1" applyFill="1" applyBorder="1" applyAlignment="1">
      <alignment horizontal="right" vertical="center"/>
    </xf>
    <xf numFmtId="0" fontId="0" fillId="0" borderId="1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/>
    <xf numFmtId="181" fontId="0" fillId="0" borderId="0" xfId="0" applyNumberFormat="1" applyFill="1" applyBorder="1" applyAlignment="1"/>
    <xf numFmtId="182" fontId="0" fillId="0" borderId="0" xfId="0" applyNumberFormat="1" applyFill="1" applyBorder="1" applyAlignment="1"/>
    <xf numFmtId="187" fontId="0" fillId="0" borderId="0" xfId="0" applyNumberFormat="1" applyFill="1" applyBorder="1" applyAlignment="1"/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vertical="center"/>
      <protection locked="0"/>
    </xf>
    <xf numFmtId="0" fontId="0" fillId="0" borderId="28" xfId="0" applyFill="1" applyBorder="1" applyAlignment="1" applyProtection="1">
      <alignment horizontal="center" vertical="center"/>
      <protection locked="0"/>
    </xf>
    <xf numFmtId="0" fontId="0" fillId="0" borderId="7" xfId="0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vertical="center"/>
      <protection locked="0"/>
    </xf>
    <xf numFmtId="0" fontId="0" fillId="0" borderId="9" xfId="0" applyNumberFormat="1" applyFill="1" applyBorder="1" applyAlignment="1" applyProtection="1">
      <alignment horizontal="center" vertical="center"/>
      <protection locked="0"/>
    </xf>
    <xf numFmtId="178" fontId="0" fillId="0" borderId="9" xfId="0" applyNumberFormat="1" applyFill="1" applyBorder="1" applyAlignment="1" applyProtection="1">
      <alignment horizontal="center" vertical="center"/>
      <protection locked="0"/>
    </xf>
    <xf numFmtId="0" fontId="0" fillId="0" borderId="16" xfId="0" applyNumberFormat="1" applyFill="1" applyBorder="1" applyAlignment="1" applyProtection="1">
      <alignment horizontal="center" vertical="center"/>
      <protection locked="0"/>
    </xf>
    <xf numFmtId="0" fontId="0" fillId="0" borderId="7" xfId="0" applyNumberFormat="1" applyFill="1" applyBorder="1" applyAlignment="1" applyProtection="1">
      <alignment horizontal="center" vertical="center"/>
      <protection locked="0"/>
    </xf>
    <xf numFmtId="0" fontId="0" fillId="0" borderId="7" xfId="0" applyNumberFormat="1" applyFill="1" applyBorder="1" applyAlignment="1" applyProtection="1">
      <alignment vertical="center"/>
      <protection locked="0"/>
    </xf>
    <xf numFmtId="186" fontId="2" fillId="3" borderId="9" xfId="0" applyNumberFormat="1" applyFont="1" applyFill="1" applyBorder="1" applyAlignment="1" applyProtection="1">
      <alignment horizontal="center" vertical="center"/>
      <protection locked="0"/>
    </xf>
    <xf numFmtId="185" fontId="0" fillId="5" borderId="16" xfId="0" applyNumberFormat="1" applyFill="1" applyBorder="1" applyAlignment="1" applyProtection="1">
      <alignment horizontal="center" vertical="center"/>
      <protection hidden="1"/>
    </xf>
    <xf numFmtId="0" fontId="0" fillId="0" borderId="16" xfId="0" applyNumberFormat="1" applyFill="1" applyBorder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1" fillId="0" borderId="16" xfId="0" applyNumberFormat="1" applyFont="1" applyFill="1" applyBorder="1" applyAlignment="1" applyProtection="1">
      <alignment horizontal="center" vertical="center"/>
      <protection locked="0"/>
    </xf>
    <xf numFmtId="49" fontId="1" fillId="0" borderId="22" xfId="0" applyNumberFormat="1" applyFont="1" applyFill="1" applyBorder="1" applyAlignment="1" applyProtection="1">
      <alignment horizontal="left" vertical="center"/>
      <protection locked="0"/>
    </xf>
    <xf numFmtId="186" fontId="0" fillId="3" borderId="29" xfId="0" applyNumberFormat="1" applyFill="1" applyBorder="1" applyAlignment="1" applyProtection="1">
      <alignment horizontal="left" vertical="center"/>
      <protection locked="0"/>
    </xf>
    <xf numFmtId="0" fontId="0" fillId="4" borderId="9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28" xfId="0" applyFill="1" applyBorder="1" applyAlignment="1" applyProtection="1">
      <alignment vertical="center"/>
      <protection locked="0"/>
    </xf>
    <xf numFmtId="0" fontId="0" fillId="4" borderId="16" xfId="0" applyNumberFormat="1" applyFill="1" applyBorder="1" applyAlignment="1" applyProtection="1">
      <alignment horizontal="center" vertical="center"/>
      <protection hidden="1"/>
    </xf>
    <xf numFmtId="188" fontId="0" fillId="2" borderId="28" xfId="0" applyNumberFormat="1" applyFill="1" applyBorder="1" applyAlignment="1" applyProtection="1">
      <alignment vertical="center"/>
      <protection hidden="1"/>
    </xf>
    <xf numFmtId="186" fontId="0" fillId="0" borderId="0" xfId="0" applyNumberFormat="1" applyFill="1" applyAlignment="1" applyProtection="1">
      <alignment vertical="center"/>
      <protection locked="0"/>
    </xf>
    <xf numFmtId="185" fontId="0" fillId="0" borderId="0" xfId="0" applyNumberFormat="1" applyFill="1" applyAlignment="1" applyProtection="1">
      <alignment vertical="center"/>
      <protection locked="0"/>
    </xf>
    <xf numFmtId="49" fontId="2" fillId="0" borderId="0" xfId="0" applyNumberFormat="1" applyFont="1" applyFill="1" applyAlignment="1" applyProtection="1">
      <alignment vertical="center"/>
      <protection locked="0"/>
    </xf>
    <xf numFmtId="49" fontId="0" fillId="0" borderId="0" xfId="0" applyNumberFormat="1" applyFill="1" applyAlignment="1" applyProtection="1">
      <alignment vertical="center"/>
      <protection locked="0"/>
    </xf>
    <xf numFmtId="180" fontId="0" fillId="2" borderId="28" xfId="0" applyNumberFormat="1" applyFill="1" applyBorder="1" applyAlignment="1" applyProtection="1">
      <alignment vertical="center"/>
      <protection hidden="1"/>
    </xf>
    <xf numFmtId="0" fontId="2" fillId="0" borderId="22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0" fillId="0" borderId="3" xfId="0" applyFont="1" applyFill="1" applyBorder="1" applyAlignment="1" applyProtection="1">
      <alignment horizontal="left" vertical="center"/>
      <protection locked="0"/>
    </xf>
    <xf numFmtId="0" fontId="0" fillId="0" borderId="4" xfId="0" applyFont="1" applyFill="1" applyBorder="1" applyAlignment="1" applyProtection="1">
      <alignment horizontal="left" vertical="center"/>
      <protection locked="0"/>
    </xf>
    <xf numFmtId="179" fontId="0" fillId="0" borderId="4" xfId="0" applyNumberFormat="1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29" xfId="0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176" fontId="0" fillId="0" borderId="4" xfId="0" applyNumberFormat="1" applyFill="1" applyBorder="1" applyAlignment="1" applyProtection="1">
      <alignment horizontal="left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0" fillId="0" borderId="0" xfId="0" applyNumberFormat="1" applyFill="1" applyAlignment="1" applyProtection="1">
      <alignment vertical="center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49" fontId="0" fillId="0" borderId="7" xfId="0" applyNumberFormat="1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29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2" fillId="0" borderId="5" xfId="0" applyFont="1" applyFill="1" applyBorder="1" applyAlignment="1" applyProtection="1">
      <alignment horizontal="left" vertical="center" wrapText="1"/>
      <protection locked="0"/>
    </xf>
    <xf numFmtId="0" fontId="2" fillId="0" borderId="2" xfId="0" applyFont="1" applyFill="1" applyBorder="1" applyAlignment="1" applyProtection="1">
      <alignment horizontal="left" vertical="center" wrapText="1"/>
      <protection locked="0"/>
    </xf>
    <xf numFmtId="49" fontId="14" fillId="0" borderId="2" xfId="0" applyNumberFormat="1" applyFont="1" applyFill="1" applyBorder="1" applyAlignment="1" applyProtection="1">
      <alignment horizontal="left" vertical="center" wrapText="1"/>
      <protection locked="0"/>
    </xf>
    <xf numFmtId="49" fontId="14" fillId="0" borderId="5" xfId="0" applyNumberFormat="1" applyFont="1" applyFill="1" applyBorder="1" applyAlignment="1" applyProtection="1">
      <alignment horizontal="left" vertical="center" wrapText="1"/>
      <protection locked="0"/>
    </xf>
    <xf numFmtId="0" fontId="12" fillId="0" borderId="28" xfId="0" applyFont="1" applyFill="1" applyBorder="1" applyAlignment="1" applyProtection="1">
      <alignment horizontal="center" vertical="center" wrapText="1"/>
      <protection locked="0"/>
    </xf>
    <xf numFmtId="0" fontId="12" fillId="0" borderId="7" xfId="0" applyFont="1" applyFill="1" applyBorder="1" applyAlignment="1" applyProtection="1">
      <alignment horizontal="center" vertical="center" wrapText="1"/>
      <protection locked="0"/>
    </xf>
    <xf numFmtId="0" fontId="0" fillId="0" borderId="28" xfId="0" applyNumberFormat="1" applyFill="1" applyBorder="1" applyAlignment="1" applyProtection="1">
      <alignment horizontal="center" vertical="center"/>
      <protection locked="0"/>
    </xf>
    <xf numFmtId="0" fontId="0" fillId="0" borderId="9" xfId="0" applyNumberFormat="1" applyFill="1" applyBorder="1" applyAlignment="1" applyProtection="1">
      <alignment horizontal="center" vertical="center"/>
      <protection locked="0"/>
    </xf>
    <xf numFmtId="186" fontId="2" fillId="3" borderId="9" xfId="0" applyNumberFormat="1" applyFont="1" applyFill="1" applyBorder="1" applyAlignment="1" applyProtection="1">
      <alignment horizontal="center" vertical="center"/>
      <protection locked="0"/>
    </xf>
    <xf numFmtId="186" fontId="0" fillId="3" borderId="9" xfId="0" applyNumberFormat="1" applyFill="1" applyBorder="1" applyAlignment="1" applyProtection="1">
      <alignment horizontal="center" vertical="center"/>
      <protection locked="0"/>
    </xf>
    <xf numFmtId="180" fontId="0" fillId="4" borderId="9" xfId="0" applyNumberFormat="1" applyFill="1" applyBorder="1" applyAlignment="1" applyProtection="1">
      <alignment horizontal="center" vertical="center"/>
      <protection hidden="1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1" fillId="0" borderId="16" xfId="0" applyNumberFormat="1" applyFont="1" applyFill="1" applyBorder="1" applyAlignment="1" applyProtection="1">
      <alignment horizontal="center" vertical="center"/>
      <protection locked="0"/>
    </xf>
    <xf numFmtId="0" fontId="1" fillId="0" borderId="7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Fill="1" applyBorder="1" applyAlignment="1" applyProtection="1">
      <alignment horizontal="center" vertical="center"/>
      <protection locked="0"/>
    </xf>
    <xf numFmtId="186" fontId="0" fillId="0" borderId="7" xfId="0" applyNumberFormat="1" applyFill="1" applyBorder="1" applyAlignment="1" applyProtection="1">
      <alignment horizontal="center" vertical="center"/>
      <protection locked="0"/>
    </xf>
    <xf numFmtId="0" fontId="2" fillId="0" borderId="16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4" borderId="10" xfId="0" applyNumberFormat="1" applyFont="1" applyFill="1" applyBorder="1" applyAlignment="1" applyProtection="1">
      <alignment horizontal="center" vertical="center"/>
      <protection hidden="1"/>
    </xf>
    <xf numFmtId="0" fontId="0" fillId="4" borderId="8" xfId="0" applyNumberFormat="1" applyFill="1" applyBorder="1" applyAlignment="1" applyProtection="1">
      <alignment horizontal="center" vertical="center"/>
      <protection hidden="1"/>
    </xf>
    <xf numFmtId="0" fontId="2" fillId="6" borderId="10" xfId="0" applyNumberFormat="1" applyFont="1" applyFill="1" applyBorder="1" applyAlignment="1" applyProtection="1">
      <alignment horizontal="center" vertical="center"/>
      <protection hidden="1"/>
    </xf>
    <xf numFmtId="0" fontId="2" fillId="6" borderId="8" xfId="0" applyNumberFormat="1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186" fontId="0" fillId="0" borderId="28" xfId="0" applyNumberFormat="1" applyFill="1" applyBorder="1" applyAlignment="1" applyProtection="1">
      <alignment horizontal="center" vertical="center"/>
      <protection locked="0"/>
    </xf>
    <xf numFmtId="180" fontId="0" fillId="4" borderId="10" xfId="0" applyNumberFormat="1" applyFill="1" applyBorder="1" applyAlignment="1" applyProtection="1">
      <alignment horizontal="center" vertical="center"/>
      <protection hidden="1"/>
    </xf>
    <xf numFmtId="180" fontId="0" fillId="4" borderId="8" xfId="0" applyNumberFormat="1" applyFill="1" applyBorder="1" applyAlignment="1" applyProtection="1">
      <alignment horizontal="center" vertical="center"/>
      <protection hidden="1"/>
    </xf>
    <xf numFmtId="186" fontId="2" fillId="3" borderId="10" xfId="0" applyNumberFormat="1" applyFont="1" applyFill="1" applyBorder="1" applyAlignment="1" applyProtection="1">
      <alignment horizontal="center" vertical="center"/>
      <protection locked="0"/>
    </xf>
    <xf numFmtId="186" fontId="2" fillId="3" borderId="8" xfId="0" applyNumberFormat="1" applyFont="1" applyFill="1" applyBorder="1" applyAlignment="1" applyProtection="1">
      <alignment horizontal="center" vertical="center"/>
      <protection locked="0"/>
    </xf>
    <xf numFmtId="180" fontId="2" fillId="4" borderId="10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184" fontId="0" fillId="0" borderId="0" xfId="0" applyNumberFormat="1" applyFill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Alignment="1" applyProtection="1">
      <alignment horizontal="center"/>
      <protection hidden="1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185" fontId="0" fillId="0" borderId="0" xfId="0" applyNumberFormat="1" applyFill="1" applyBorder="1" applyAlignment="1">
      <alignment horizontal="center" vertical="center"/>
    </xf>
    <xf numFmtId="181" fontId="5" fillId="0" borderId="18" xfId="0" applyNumberFormat="1" applyFont="1" applyFill="1" applyBorder="1" applyAlignment="1">
      <alignment horizontal="center" vertical="center"/>
    </xf>
    <xf numFmtId="181" fontId="5" fillId="0" borderId="19" xfId="0" applyNumberFormat="1" applyFont="1" applyFill="1" applyBorder="1" applyAlignment="1">
      <alignment horizontal="center" vertical="center"/>
    </xf>
    <xf numFmtId="181" fontId="0" fillId="0" borderId="18" xfId="0" applyNumberFormat="1" applyFill="1" applyBorder="1" applyAlignment="1">
      <alignment horizontal="center" vertical="center"/>
    </xf>
    <xf numFmtId="181" fontId="0" fillId="0" borderId="19" xfId="0" applyNumberFormat="1" applyFill="1" applyBorder="1" applyAlignment="1">
      <alignment horizontal="center" vertical="center"/>
    </xf>
    <xf numFmtId="181" fontId="0" fillId="0" borderId="17" xfId="0" applyNumberFormat="1" applyFill="1" applyBorder="1" applyAlignment="1" applyProtection="1">
      <alignment horizontal="center" vertical="center"/>
      <protection hidden="1"/>
    </xf>
    <xf numFmtId="181" fontId="5" fillId="0" borderId="18" xfId="0" applyNumberFormat="1" applyFont="1" applyFill="1" applyBorder="1" applyAlignment="1" applyProtection="1">
      <alignment horizontal="center" vertical="center"/>
      <protection locked="0"/>
    </xf>
    <xf numFmtId="181" fontId="5" fillId="0" borderId="19" xfId="0" applyNumberFormat="1" applyFont="1" applyFill="1" applyBorder="1" applyAlignment="1" applyProtection="1">
      <alignment horizontal="center" vertical="center"/>
      <protection locked="0"/>
    </xf>
    <xf numFmtId="185" fontId="0" fillId="0" borderId="9" xfId="0" applyNumberFormat="1" applyFill="1" applyBorder="1" applyAlignment="1" applyProtection="1">
      <alignment horizontal="center" vertical="center"/>
      <protection hidden="1"/>
    </xf>
    <xf numFmtId="0" fontId="0" fillId="0" borderId="9" xfId="0" applyFill="1" applyBorder="1" applyAlignment="1" applyProtection="1">
      <alignment horizontal="center" vertical="center"/>
      <protection hidden="1"/>
    </xf>
    <xf numFmtId="187" fontId="0" fillId="4" borderId="9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81" fontId="0" fillId="0" borderId="18" xfId="0" applyNumberFormat="1" applyFill="1" applyBorder="1" applyAlignment="1" applyProtection="1">
      <alignment vertical="center"/>
      <protection hidden="1"/>
    </xf>
    <xf numFmtId="181" fontId="0" fillId="0" borderId="19" xfId="0" applyNumberFormat="1" applyFill="1" applyBorder="1" applyAlignment="1" applyProtection="1">
      <alignment vertical="center"/>
      <protection hidden="1"/>
    </xf>
    <xf numFmtId="187" fontId="0" fillId="0" borderId="9" xfId="0" applyNumberFormat="1" applyFont="1" applyFill="1" applyBorder="1" applyAlignment="1" applyProtection="1">
      <alignment horizontal="center" vertical="center"/>
      <protection hidden="1"/>
    </xf>
    <xf numFmtId="187" fontId="0" fillId="0" borderId="9" xfId="0" applyNumberFormat="1" applyFill="1" applyBorder="1" applyAlignment="1" applyProtection="1">
      <alignment horizontal="center" vertical="center"/>
      <protection hidden="1"/>
    </xf>
    <xf numFmtId="187" fontId="0" fillId="0" borderId="9" xfId="0" applyNumberFormat="1" applyFont="1" applyFill="1" applyBorder="1" applyAlignment="1" applyProtection="1">
      <alignment horizontal="center" vertical="center"/>
      <protection locked="0"/>
    </xf>
    <xf numFmtId="187" fontId="0" fillId="0" borderId="9" xfId="0" applyNumberFormat="1" applyFill="1" applyBorder="1" applyAlignment="1" applyProtection="1">
      <alignment horizontal="center" vertical="center"/>
      <protection locked="0"/>
    </xf>
    <xf numFmtId="184" fontId="0" fillId="4" borderId="9" xfId="0" applyNumberFormat="1" applyFill="1" applyBorder="1" applyAlignment="1">
      <alignment horizontal="center" vertical="center"/>
    </xf>
    <xf numFmtId="185" fontId="0" fillId="4" borderId="9" xfId="0" applyNumberFormat="1" applyFill="1" applyBorder="1" applyAlignment="1">
      <alignment horizontal="center" vertical="center"/>
    </xf>
    <xf numFmtId="183" fontId="0" fillId="0" borderId="9" xfId="0" applyNumberFormat="1" applyFill="1" applyBorder="1" applyAlignment="1" applyProtection="1">
      <alignment horizontal="center" vertical="center"/>
      <protection locked="0"/>
    </xf>
    <xf numFmtId="185" fontId="0" fillId="0" borderId="9" xfId="0" applyNumberFormat="1" applyFill="1" applyBorder="1" applyAlignment="1" applyProtection="1">
      <alignment horizontal="center" vertical="center"/>
      <protection locked="0"/>
    </xf>
    <xf numFmtId="185" fontId="0" fillId="0" borderId="16" xfId="0" applyNumberFormat="1" applyFill="1" applyBorder="1" applyAlignment="1" applyProtection="1">
      <alignment horizontal="center" vertical="center"/>
      <protection locked="0"/>
    </xf>
    <xf numFmtId="185" fontId="0" fillId="0" borderId="7" xfId="0" applyNumberForma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>
      <alignment horizontal="center" vertical="center"/>
    </xf>
    <xf numFmtId="0" fontId="1" fillId="0" borderId="16" xfId="0" applyFont="1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 vertical="center"/>
      <protection locked="0"/>
    </xf>
    <xf numFmtId="0" fontId="0" fillId="0" borderId="20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20" xfId="0" applyFill="1" applyBorder="1" applyAlignment="1">
      <alignment horizontal="center" vertical="center" wrapText="1"/>
    </xf>
    <xf numFmtId="0" fontId="0" fillId="0" borderId="24" xfId="0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4" fillId="0" borderId="11" xfId="0" applyFont="1" applyFill="1" applyBorder="1" applyAlignment="1" applyProtection="1">
      <alignment horizontal="center" vertical="top"/>
      <protection locked="0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/>
    </xf>
    <xf numFmtId="0" fontId="0" fillId="0" borderId="9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06"/>
  <sheetViews>
    <sheetView showZeros="0" tabSelected="1" zoomScale="130" zoomScaleNormal="130" workbookViewId="0">
      <pane xSplit="1" ySplit="10" topLeftCell="B11" activePane="bottomRight" state="frozen"/>
      <selection pane="topRight"/>
      <selection pane="bottomLeft"/>
      <selection pane="bottomRight" activeCell="P15" sqref="P15"/>
    </sheetView>
  </sheetViews>
  <sheetFormatPr defaultColWidth="9" defaultRowHeight="14.25" x14ac:dyDescent="0.15"/>
  <cols>
    <col min="1" max="1" width="3.5" style="11" customWidth="1"/>
    <col min="2" max="2" width="4.375" style="11" customWidth="1"/>
    <col min="3" max="3" width="7.25" style="11" customWidth="1"/>
    <col min="4" max="5" width="7.625" style="11" customWidth="1"/>
    <col min="6" max="6" width="7.375" style="11" customWidth="1"/>
    <col min="7" max="7" width="8.125" style="11" customWidth="1"/>
    <col min="8" max="8" width="8.625" style="11" customWidth="1"/>
    <col min="9" max="9" width="9.375" style="11"/>
    <col min="10" max="10" width="10.5" style="96" customWidth="1"/>
    <col min="11" max="11" width="12.25" style="11" customWidth="1"/>
    <col min="12" max="12" width="5" style="11" customWidth="1"/>
    <col min="13" max="13" width="6.125" style="11" customWidth="1"/>
    <col min="14" max="14" width="13" style="11" hidden="1" customWidth="1"/>
    <col min="15" max="15" width="9.5" style="11" customWidth="1"/>
    <col min="16" max="16384" width="9" style="11"/>
  </cols>
  <sheetData>
    <row r="1" spans="1:19" ht="15.95" customHeight="1" x14ac:dyDescent="0.15">
      <c r="A1" s="110" t="s">
        <v>0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</row>
    <row r="2" spans="1:19" ht="15.95" customHeight="1" x14ac:dyDescent="0.1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</row>
    <row r="3" spans="1:19" ht="9.9499999999999993" customHeight="1" x14ac:dyDescent="0.15">
      <c r="A3" s="57" t="s">
        <v>1</v>
      </c>
      <c r="B3" s="57" t="s">
        <v>1</v>
      </c>
      <c r="C3" s="57" t="s">
        <v>2</v>
      </c>
      <c r="D3" s="28" t="s">
        <v>3</v>
      </c>
      <c r="E3" s="57" t="s">
        <v>4</v>
      </c>
      <c r="F3" s="28" t="s">
        <v>3</v>
      </c>
      <c r="G3" s="58"/>
      <c r="H3" s="104" t="s">
        <v>5</v>
      </c>
      <c r="I3" s="104"/>
      <c r="J3" s="126" t="s">
        <v>11</v>
      </c>
      <c r="K3" s="124" t="s">
        <v>12</v>
      </c>
      <c r="L3" s="107" t="s">
        <v>6</v>
      </c>
      <c r="M3" s="108"/>
      <c r="N3" s="105" t="s">
        <v>7</v>
      </c>
    </row>
    <row r="4" spans="1:19" ht="9.9499999999999993" customHeight="1" x14ac:dyDescent="0.15">
      <c r="A4" s="59" t="s">
        <v>8</v>
      </c>
      <c r="B4" s="59" t="s">
        <v>9</v>
      </c>
      <c r="C4" s="30" t="s">
        <v>7</v>
      </c>
      <c r="D4" s="28" t="s">
        <v>10</v>
      </c>
      <c r="E4" s="60" t="s">
        <v>7</v>
      </c>
      <c r="F4" s="28" t="s">
        <v>10</v>
      </c>
      <c r="G4" s="117" t="s">
        <v>122</v>
      </c>
      <c r="H4" s="104"/>
      <c r="I4" s="104"/>
      <c r="J4" s="127"/>
      <c r="K4" s="125"/>
      <c r="L4" s="106"/>
      <c r="M4" s="109"/>
      <c r="N4" s="106"/>
      <c r="O4" s="70"/>
    </row>
    <row r="5" spans="1:19" ht="9.9499999999999993" customHeight="1" x14ac:dyDescent="0.15">
      <c r="A5" s="59" t="s">
        <v>13</v>
      </c>
      <c r="B5" s="59" t="s">
        <v>13</v>
      </c>
      <c r="C5" s="104" t="s">
        <v>14</v>
      </c>
      <c r="D5" s="104"/>
      <c r="E5" s="104" t="s">
        <v>14</v>
      </c>
      <c r="F5" s="104"/>
      <c r="G5" s="117"/>
      <c r="H5" s="104" t="s">
        <v>15</v>
      </c>
      <c r="I5" s="104" t="s">
        <v>16</v>
      </c>
      <c r="J5" s="71" t="s">
        <v>17</v>
      </c>
      <c r="K5" s="29" t="s">
        <v>121</v>
      </c>
      <c r="L5" s="106"/>
      <c r="M5" s="109"/>
      <c r="N5" s="106"/>
    </row>
    <row r="6" spans="1:19" ht="9.9499999999999993" customHeight="1" x14ac:dyDescent="0.15">
      <c r="A6" s="30" t="s">
        <v>18</v>
      </c>
      <c r="B6" s="30" t="s">
        <v>18</v>
      </c>
      <c r="C6" s="104" t="s">
        <v>19</v>
      </c>
      <c r="D6" s="104"/>
      <c r="E6" s="104" t="s">
        <v>20</v>
      </c>
      <c r="F6" s="104"/>
      <c r="G6" s="118"/>
      <c r="H6" s="104"/>
      <c r="I6" s="104"/>
      <c r="J6" s="66"/>
      <c r="K6" s="61"/>
      <c r="L6" s="106"/>
      <c r="M6" s="109"/>
      <c r="N6" s="106"/>
    </row>
    <row r="7" spans="1:19" ht="9.9499999999999993" customHeight="1" x14ac:dyDescent="0.15">
      <c r="A7" s="124"/>
      <c r="B7" s="104"/>
      <c r="C7" s="120" t="s">
        <v>21</v>
      </c>
      <c r="D7" s="120"/>
      <c r="E7" s="120" t="s">
        <v>22</v>
      </c>
      <c r="F7" s="120"/>
      <c r="G7" s="62" t="s">
        <v>2</v>
      </c>
      <c r="H7" s="63" t="s">
        <v>23</v>
      </c>
      <c r="I7" s="63" t="s">
        <v>24</v>
      </c>
      <c r="J7" s="62" t="s">
        <v>25</v>
      </c>
      <c r="K7" s="69"/>
      <c r="L7" s="72" t="s">
        <v>26</v>
      </c>
      <c r="M7" s="73">
        <v>4787</v>
      </c>
    </row>
    <row r="8" spans="1:19" ht="9.9499999999999993" customHeight="1" x14ac:dyDescent="0.15">
      <c r="A8" s="128"/>
      <c r="B8" s="104"/>
      <c r="C8" s="120" t="s">
        <v>27</v>
      </c>
      <c r="D8" s="120"/>
      <c r="E8" s="120" t="s">
        <v>28</v>
      </c>
      <c r="F8" s="120"/>
      <c r="G8" s="62" t="s">
        <v>4</v>
      </c>
      <c r="H8" s="63" t="s">
        <v>29</v>
      </c>
      <c r="I8" s="63" t="s">
        <v>30</v>
      </c>
      <c r="J8" s="62" t="s">
        <v>31</v>
      </c>
      <c r="K8" s="119" t="s">
        <v>38</v>
      </c>
      <c r="L8" s="115" t="s">
        <v>123</v>
      </c>
      <c r="M8" s="116"/>
    </row>
    <row r="9" spans="1:19" ht="9.9499999999999993" customHeight="1" x14ac:dyDescent="0.15">
      <c r="A9" s="128"/>
      <c r="B9" s="104"/>
      <c r="C9" s="120" t="s">
        <v>32</v>
      </c>
      <c r="D9" s="120"/>
      <c r="E9" s="120" t="s">
        <v>33</v>
      </c>
      <c r="F9" s="120"/>
      <c r="G9" s="62" t="s">
        <v>34</v>
      </c>
      <c r="H9" s="63" t="s">
        <v>35</v>
      </c>
      <c r="I9" s="63" t="s">
        <v>36</v>
      </c>
      <c r="J9" s="62" t="s">
        <v>37</v>
      </c>
      <c r="K9" s="119"/>
      <c r="L9" s="115"/>
      <c r="M9" s="116"/>
    </row>
    <row r="10" spans="1:19" ht="9.9499999999999993" customHeight="1" x14ac:dyDescent="0.15">
      <c r="A10" s="128"/>
      <c r="B10" s="104"/>
      <c r="C10" s="120" t="s">
        <v>39</v>
      </c>
      <c r="D10" s="120"/>
      <c r="E10" s="120" t="s">
        <v>40</v>
      </c>
      <c r="F10" s="120"/>
      <c r="G10" s="65"/>
      <c r="H10" s="66"/>
      <c r="I10" s="66"/>
      <c r="J10" s="66"/>
      <c r="K10" s="66"/>
      <c r="L10" s="112" t="s">
        <v>124</v>
      </c>
      <c r="M10" s="113"/>
    </row>
    <row r="11" spans="1:19" ht="24.95" customHeight="1" x14ac:dyDescent="0.15">
      <c r="A11" s="124">
        <v>1</v>
      </c>
      <c r="B11" s="25"/>
      <c r="C11" s="121"/>
      <c r="D11" s="122"/>
      <c r="E11" s="121"/>
      <c r="F11" s="122"/>
      <c r="G11" s="62"/>
      <c r="H11" s="67"/>
      <c r="I11" s="67"/>
      <c r="J11" s="74" t="str">
        <f>IF(H11-I11=0,"",IF(OR((H11+N11-I11)&gt;3,(H11+N11-I11)&lt;-3),"超限",IF(AND((H11+N11-I11)&lt;=3,(H11+N11-I11)&gt;0),"+"&amp;(H11+N11-I11),(H11+N11-I11))))&amp;""</f>
        <v/>
      </c>
      <c r="K11" s="58"/>
      <c r="L11" s="114"/>
      <c r="M11" s="113"/>
      <c r="N11" s="75" t="str">
        <f>IF(M7=4687,4687,4787)&amp;""</f>
        <v>4787</v>
      </c>
      <c r="R11" s="95" t="s">
        <v>41</v>
      </c>
    </row>
    <row r="12" spans="1:19" ht="24.95" customHeight="1" x14ac:dyDescent="0.15">
      <c r="A12" s="128"/>
      <c r="B12" s="104" t="s">
        <v>42</v>
      </c>
      <c r="C12" s="121"/>
      <c r="D12" s="122"/>
      <c r="E12" s="121"/>
      <c r="F12" s="122"/>
      <c r="G12" s="62"/>
      <c r="H12" s="67"/>
      <c r="I12" s="67"/>
      <c r="J12" s="74" t="str">
        <f>IF(H12-I12=0,"",IF(OR((H12+N12-I12)&gt;3,(H12+N12-I12)&lt;-3),"超限",IF(AND((H12+N12-I12)&lt;=3,(H12+N12-I12)&gt;0),"+"&amp;(H12+N12-I12),(H12+N12-I12))))</f>
        <v/>
      </c>
      <c r="K12" s="76"/>
      <c r="L12" s="114"/>
      <c r="M12" s="113"/>
      <c r="N12" s="75" t="str">
        <f>IF(M7=4687,4787,4687)&amp;""</f>
        <v>4687</v>
      </c>
      <c r="P12" s="6"/>
      <c r="R12" s="82"/>
    </row>
    <row r="13" spans="1:19" ht="24.95" customHeight="1" x14ac:dyDescent="0.15">
      <c r="A13" s="128"/>
      <c r="B13" s="104"/>
      <c r="C13" s="123">
        <f>(C11-C12)/10</f>
        <v>0</v>
      </c>
      <c r="D13" s="123"/>
      <c r="E13" s="123">
        <f>(E11-E12)/10</f>
        <v>0</v>
      </c>
      <c r="F13" s="123"/>
      <c r="G13" s="64" t="s">
        <v>34</v>
      </c>
      <c r="H13" s="68">
        <f>IF((H11-H12)/1000&gt;0,"+"&amp;(H11-H12)/1000,(H11-H12)/1000)</f>
        <v>0</v>
      </c>
      <c r="I13" s="68">
        <f>IF((I11-I12)/1000&gt;0,"+"&amp;(I11-I12)/1000,(I11-I12)/1000)</f>
        <v>0</v>
      </c>
      <c r="J13" s="77" t="str">
        <f>IF(H13-I13=0,"",IF((IF(ABS(J11-J12)&gt;5,"超限",J11-J12))&gt;0,"+"&amp;(J11-J12),(J11-J12)))&amp;""</f>
        <v/>
      </c>
      <c r="K13" s="78">
        <f>IF(H13-I13=0,0,IF(H13-I13&gt;0,(H13+I13+0.1)/2,(H13+I13-0.1)/2))</f>
        <v>0</v>
      </c>
      <c r="L13" s="114"/>
      <c r="M13" s="113"/>
      <c r="N13" s="11">
        <v>0</v>
      </c>
      <c r="O13" s="79">
        <v>0</v>
      </c>
      <c r="P13" s="6"/>
    </row>
    <row r="14" spans="1:19" ht="24.95" customHeight="1" x14ac:dyDescent="0.15">
      <c r="A14" s="140"/>
      <c r="B14" s="25"/>
      <c r="C14" s="145">
        <f>IF(C11=C12,0,IF(ABS((C13-E13))&gt;3,"超限",ROUND((C13-E13),1))&amp;"")</f>
        <v>0</v>
      </c>
      <c r="D14" s="142"/>
      <c r="E14" s="134" t="str">
        <f>IF(C14=0,"",C14)</f>
        <v/>
      </c>
      <c r="F14" s="146"/>
      <c r="G14" s="102"/>
      <c r="H14" s="103"/>
      <c r="I14" s="103"/>
      <c r="J14" s="65"/>
      <c r="K14" s="61"/>
      <c r="L14" s="2"/>
      <c r="M14" s="10"/>
      <c r="N14" s="11">
        <v>0</v>
      </c>
      <c r="Q14" s="95"/>
    </row>
    <row r="15" spans="1:19" ht="24.95" customHeight="1" x14ac:dyDescent="0.15">
      <c r="A15" s="124">
        <v>2</v>
      </c>
      <c r="B15" s="25"/>
      <c r="C15" s="143"/>
      <c r="D15" s="144"/>
      <c r="E15" s="143"/>
      <c r="F15" s="144"/>
      <c r="G15" s="62" t="s">
        <v>2</v>
      </c>
      <c r="H15" s="67"/>
      <c r="I15" s="67"/>
      <c r="J15" s="74" t="str">
        <f>IF(H15-I15=0,"",IF(OR((H15+N15-I15)&gt;3,(H15+N15-I15)&lt;-3),"超限",IF(AND((H15+N15-I15)&lt;=3,(H15+N15-I15)&gt;0),"+"&amp;(H15+N15-I15),(H15+N15-I15))))&amp;""</f>
        <v/>
      </c>
      <c r="K15" s="58"/>
      <c r="L15" s="2"/>
      <c r="M15" s="10"/>
      <c r="N15" s="75" t="str">
        <f>N12&amp;""</f>
        <v>4687</v>
      </c>
      <c r="O15" s="80"/>
      <c r="R15" s="18"/>
      <c r="S15" s="18"/>
    </row>
    <row r="16" spans="1:19" ht="24.95" customHeight="1" x14ac:dyDescent="0.15">
      <c r="A16" s="128"/>
      <c r="B16" s="104" t="s">
        <v>42</v>
      </c>
      <c r="C16" s="143"/>
      <c r="D16" s="144"/>
      <c r="E16" s="143"/>
      <c r="F16" s="144"/>
      <c r="G16" s="62" t="s">
        <v>4</v>
      </c>
      <c r="H16" s="67"/>
      <c r="I16" s="67"/>
      <c r="J16" s="74" t="str">
        <f>IF(H16-I16=0,"",IF(OR((H16+N16-I16)&gt;3,(H16+N16-I16)&lt;-3),"超限",IF(AND((H16+N16-I16)&lt;=3,(H16+N16-I16)&gt;0),"+"&amp;(H16+N16-I16),(H16+N16-I16))))</f>
        <v/>
      </c>
      <c r="K16" s="76"/>
      <c r="L16" s="2"/>
      <c r="M16" s="10"/>
      <c r="N16" s="75" t="str">
        <f>N11&amp;""</f>
        <v>4787</v>
      </c>
      <c r="O16" s="81"/>
      <c r="R16" s="18"/>
      <c r="S16" s="18"/>
    </row>
    <row r="17" spans="1:21" ht="24.95" customHeight="1" x14ac:dyDescent="0.15">
      <c r="A17" s="128"/>
      <c r="B17" s="104"/>
      <c r="C17" s="141">
        <f>(C15-C16)/10</f>
        <v>0</v>
      </c>
      <c r="D17" s="142"/>
      <c r="E17" s="141">
        <f>(E15-E16)/10</f>
        <v>0</v>
      </c>
      <c r="F17" s="142"/>
      <c r="G17" s="64" t="s">
        <v>34</v>
      </c>
      <c r="H17" s="68">
        <f>IF((H15-H16)/1000&gt;0,"+"&amp;(H15-H16)/1000,(H15-H16)/1000)</f>
        <v>0</v>
      </c>
      <c r="I17" s="68">
        <f>IF((I15-I16)/1000&gt;0,"+"&amp;(I15-I16)/1000,(I15-I16)/1000)</f>
        <v>0</v>
      </c>
      <c r="J17" s="77" t="str">
        <f>IF(H17-I17=0,"",IF((IF(ABS(J15-J16)&gt;5,"超限",J15-J16))&gt;0,"+"&amp;(J15-J16),(J15-J16)))&amp;""</f>
        <v/>
      </c>
      <c r="K17" s="78">
        <f>IF(H17-I17=0,0,IF(H17-I17&gt;0,(H17+I17+0.1)/2,(H17+I17-0.1)/2))</f>
        <v>0</v>
      </c>
      <c r="L17" s="2"/>
      <c r="M17" s="10"/>
      <c r="N17" s="11">
        <v>0</v>
      </c>
      <c r="R17" s="18"/>
      <c r="S17" s="18"/>
    </row>
    <row r="18" spans="1:21" ht="24.95" customHeight="1" x14ac:dyDescent="0.15">
      <c r="A18" s="140"/>
      <c r="B18" s="25"/>
      <c r="C18" s="132">
        <f>IF(C15=C16,0,IF(ABS((C17-E17))&gt;3,"超限",ROUND((C17-E17),1))&amp;"")</f>
        <v>0</v>
      </c>
      <c r="D18" s="133"/>
      <c r="E18" s="134" t="str">
        <f>IF(C18=0,"",IF((ABS(C18+E14))&gt;10,"超限",C18+E14))</f>
        <v/>
      </c>
      <c r="F18" s="135"/>
      <c r="G18" s="30"/>
      <c r="H18" s="103"/>
      <c r="I18" s="103"/>
      <c r="J18" s="65"/>
      <c r="K18" s="61"/>
      <c r="L18" s="2"/>
      <c r="M18" s="10"/>
      <c r="N18" s="11">
        <v>0</v>
      </c>
      <c r="O18" s="82"/>
      <c r="R18" s="18"/>
      <c r="S18" s="18"/>
      <c r="T18" s="18"/>
      <c r="U18" s="18"/>
    </row>
    <row r="19" spans="1:21" ht="24.95" customHeight="1" x14ac:dyDescent="0.15">
      <c r="A19" s="124">
        <v>3</v>
      </c>
      <c r="B19" s="94"/>
      <c r="C19" s="143"/>
      <c r="D19" s="144"/>
      <c r="E19" s="143"/>
      <c r="F19" s="144"/>
      <c r="G19" s="62" t="s">
        <v>2</v>
      </c>
      <c r="H19" s="67"/>
      <c r="I19" s="67"/>
      <c r="J19" s="74" t="str">
        <f>IF(H19-I19=0,"",IF(OR((H19+N19-I19)&gt;3,(H19+N19-I19)&lt;-3),"超限",IF(AND((H19+N19-I19)&lt;=3,(H19+N19-I19)&gt;0),"+"&amp;(H19+N19-I19),(H19+N19-I19))))&amp;""</f>
        <v/>
      </c>
      <c r="K19" s="58"/>
      <c r="L19" s="2"/>
      <c r="M19" s="10"/>
      <c r="N19" s="75" t="str">
        <f t="shared" ref="N19" si="0">N16&amp;""</f>
        <v>4787</v>
      </c>
      <c r="O19" s="81"/>
      <c r="R19" s="18"/>
      <c r="S19" s="18"/>
      <c r="T19" s="18"/>
      <c r="U19" s="18"/>
    </row>
    <row r="20" spans="1:21" ht="24.95" customHeight="1" x14ac:dyDescent="0.15">
      <c r="A20" s="128"/>
      <c r="B20" s="104" t="s">
        <v>42</v>
      </c>
      <c r="C20" s="143"/>
      <c r="D20" s="144"/>
      <c r="E20" s="143"/>
      <c r="F20" s="144"/>
      <c r="G20" s="62" t="s">
        <v>4</v>
      </c>
      <c r="H20" s="67"/>
      <c r="I20" s="67"/>
      <c r="J20" s="74" t="str">
        <f>IF(H20-I20=0,"",IF(OR((H20+N20-I20)&gt;3,(H20+N20-I20)&lt;-3),"超限",IF(AND((H20+N20-I20)&lt;=3,(H20+N20-I20)&gt;0),"+"&amp;(H20+N20-I20),(H20+N20-I20))))</f>
        <v/>
      </c>
      <c r="K20" s="76"/>
      <c r="L20" s="2"/>
      <c r="M20" s="10"/>
      <c r="N20" s="75" t="str">
        <f t="shared" ref="N20" si="1">N15&amp;""</f>
        <v>4687</v>
      </c>
      <c r="R20" s="18"/>
      <c r="S20" s="18"/>
      <c r="T20" s="18"/>
      <c r="U20" s="18"/>
    </row>
    <row r="21" spans="1:21" ht="24.95" customHeight="1" x14ac:dyDescent="0.15">
      <c r="A21" s="128"/>
      <c r="B21" s="104"/>
      <c r="C21" s="141">
        <f>(C19-C20)/10</f>
        <v>0</v>
      </c>
      <c r="D21" s="142"/>
      <c r="E21" s="141">
        <f>(E19-E20)/10</f>
        <v>0</v>
      </c>
      <c r="F21" s="142"/>
      <c r="G21" s="64" t="s">
        <v>34</v>
      </c>
      <c r="H21" s="68">
        <f>IF((H19-H20)/1000&gt;0,"+"&amp;(H19-H20)/1000,(H19-H20)/1000)</f>
        <v>0</v>
      </c>
      <c r="I21" s="68">
        <f>IF((I19-I20)/1000&gt;0,"+"&amp;(I19-I20)/1000,(I19-I20)/1000)</f>
        <v>0</v>
      </c>
      <c r="J21" s="77" t="str">
        <f>IF(H21-I21=0,"",IF((IF(ABS(J19-J20)&gt;5,"超限",J19-J20))&gt;0,"+"&amp;(J19-J20),(J19-J20)))&amp;""</f>
        <v/>
      </c>
      <c r="K21" s="78">
        <f>IF(H21-I21=0,0,IF(H21-I21&gt;0,(H21+I21+0.1)/2,(H21+I21-0.1)/2))</f>
        <v>0</v>
      </c>
      <c r="L21" s="2"/>
      <c r="M21" s="10"/>
      <c r="N21" s="11">
        <v>0</v>
      </c>
      <c r="R21" s="18"/>
      <c r="S21" s="18"/>
      <c r="T21" s="18"/>
      <c r="U21" s="18"/>
    </row>
    <row r="22" spans="1:21" ht="24.95" customHeight="1" x14ac:dyDescent="0.15">
      <c r="A22" s="140"/>
      <c r="B22" s="94"/>
      <c r="C22" s="132">
        <f>IF(C19=C20,0,IF(ABS((C21-E21))&gt;3,"超限",ROUND((C21-E21),1))&amp;"")</f>
        <v>0</v>
      </c>
      <c r="D22" s="133"/>
      <c r="E22" s="134" t="str">
        <f>IF(C22=0,"",IF((ABS(C22+E18))&gt;10,"超限",C22+E18))</f>
        <v/>
      </c>
      <c r="F22" s="135"/>
      <c r="G22" s="30"/>
      <c r="H22" s="103"/>
      <c r="I22" s="103"/>
      <c r="J22" s="65"/>
      <c r="K22" s="61"/>
      <c r="L22" s="2"/>
      <c r="M22" s="10"/>
      <c r="N22" s="11">
        <v>0</v>
      </c>
      <c r="R22" s="18"/>
      <c r="S22" s="18"/>
      <c r="T22" s="18"/>
      <c r="U22" s="18"/>
    </row>
    <row r="23" spans="1:21" ht="24.95" customHeight="1" x14ac:dyDescent="0.15">
      <c r="A23" s="124">
        <v>4</v>
      </c>
      <c r="B23" s="94"/>
      <c r="C23" s="143"/>
      <c r="D23" s="144"/>
      <c r="E23" s="143"/>
      <c r="F23" s="144"/>
      <c r="G23" s="62" t="s">
        <v>2</v>
      </c>
      <c r="H23" s="67"/>
      <c r="I23" s="67"/>
      <c r="J23" s="74" t="str">
        <f>IF(H23-I23=0,"",IF(OR((H23+N23-I23)&gt;3,(H23+N23-I23)&lt;-3),"超限",IF(AND((H23+N23-I23)&lt;=3,(H23+N23-I23)&gt;0),"+"&amp;(H23+N23-I23),(H23+N23-I23))))&amp;""</f>
        <v/>
      </c>
      <c r="K23" s="58"/>
      <c r="L23" s="2"/>
      <c r="M23" s="10"/>
      <c r="N23" s="75" t="str">
        <f t="shared" ref="N23" si="2">N20&amp;""</f>
        <v>4687</v>
      </c>
      <c r="R23" s="18"/>
      <c r="S23" s="18"/>
      <c r="T23" s="18"/>
      <c r="U23" s="18"/>
    </row>
    <row r="24" spans="1:21" ht="24.95" customHeight="1" x14ac:dyDescent="0.15">
      <c r="A24" s="128"/>
      <c r="B24" s="104" t="s">
        <v>42</v>
      </c>
      <c r="C24" s="143"/>
      <c r="D24" s="144"/>
      <c r="E24" s="143"/>
      <c r="F24" s="144"/>
      <c r="G24" s="62" t="s">
        <v>4</v>
      </c>
      <c r="H24" s="67"/>
      <c r="I24" s="67"/>
      <c r="J24" s="74" t="str">
        <f>IF(H24-I24=0,"",IF(OR((H24+N24-I24)&gt;3,(H24+N24-I24)&lt;-3),"超限",IF(AND((H24+N24-I24)&lt;=3,(H24+N24-I24)&gt;0),"+"&amp;(H24+N24-I24),(H24+N24-I24))))</f>
        <v/>
      </c>
      <c r="K24" s="76"/>
      <c r="L24" s="2"/>
      <c r="M24" s="10"/>
      <c r="N24" s="75" t="str">
        <f t="shared" ref="N24" si="3">N19&amp;""</f>
        <v>4787</v>
      </c>
      <c r="R24" s="18"/>
      <c r="S24" s="18"/>
      <c r="T24" s="18"/>
      <c r="U24" s="18"/>
    </row>
    <row r="25" spans="1:21" ht="24.95" customHeight="1" x14ac:dyDescent="0.15">
      <c r="A25" s="128"/>
      <c r="B25" s="104"/>
      <c r="C25" s="141">
        <f>(C23-C24)/10</f>
        <v>0</v>
      </c>
      <c r="D25" s="142"/>
      <c r="E25" s="141">
        <f>(E23-E24)/10</f>
        <v>0</v>
      </c>
      <c r="F25" s="142"/>
      <c r="G25" s="64" t="s">
        <v>34</v>
      </c>
      <c r="H25" s="68">
        <f>IF((H23-H24)/1000&gt;0,"+"&amp;(H23-H24)/1000,(H23-H24)/1000)</f>
        <v>0</v>
      </c>
      <c r="I25" s="68">
        <f>IF((I23-I24)/1000&gt;0,"+"&amp;(I23-I24)/1000,(I23-I24)/1000)</f>
        <v>0</v>
      </c>
      <c r="J25" s="77" t="str">
        <f>IF(H25-I25=0,"",IF((IF(ABS(J23-J24)&gt;5,"超限",J23-J24))&gt;0,"+"&amp;(J23-J24),(J23-J24)))&amp;""</f>
        <v/>
      </c>
      <c r="K25" s="78">
        <f>IF(H25-I25=0,0,IF(H25-I25&gt;0,(H25+I25+0.1)/2,(H25+I25-0.1)/2))</f>
        <v>0</v>
      </c>
      <c r="L25" s="2"/>
      <c r="M25" s="10"/>
      <c r="N25" s="11">
        <v>0</v>
      </c>
      <c r="R25" s="18"/>
      <c r="S25" s="18"/>
      <c r="T25" s="18"/>
      <c r="U25" s="18"/>
    </row>
    <row r="26" spans="1:21" ht="24.95" customHeight="1" x14ac:dyDescent="0.15">
      <c r="A26" s="129"/>
      <c r="B26" s="94"/>
      <c r="C26" s="132">
        <f>IF(C23=C24,0,IF(ABS((C25-E25))&gt;3,"超限",ROUND((C25-E25),1))&amp;"")</f>
        <v>0</v>
      </c>
      <c r="D26" s="133"/>
      <c r="E26" s="134" t="str">
        <f>IF(C26=0,"",IF((ABS(C26+E22))&gt;10,"超限",C26+E22))</f>
        <v/>
      </c>
      <c r="F26" s="135"/>
      <c r="G26" s="30"/>
      <c r="H26" s="103"/>
      <c r="I26" s="103"/>
      <c r="J26" s="65"/>
      <c r="K26" s="61"/>
      <c r="L26" s="6"/>
      <c r="M26" s="10"/>
      <c r="N26" s="11">
        <v>0</v>
      </c>
      <c r="R26" s="18"/>
      <c r="S26" s="18"/>
      <c r="T26" s="18"/>
      <c r="U26" s="18"/>
    </row>
    <row r="27" spans="1:21" ht="24.95" customHeight="1" x14ac:dyDescent="0.15">
      <c r="A27" s="124">
        <v>5</v>
      </c>
      <c r="B27" s="94"/>
      <c r="C27" s="143"/>
      <c r="D27" s="144"/>
      <c r="E27" s="143"/>
      <c r="F27" s="144"/>
      <c r="G27" s="62" t="s">
        <v>2</v>
      </c>
      <c r="H27" s="67"/>
      <c r="I27" s="67"/>
      <c r="J27" s="74" t="str">
        <f>IF(H27-I27=0,"",IF(OR((H27+N27-I27)&gt;3,(H27+N27-I27)&lt;-3),"超限",IF(AND((H27+N27-I27)&lt;=3,(H27+N27-I27)&gt;0),"+"&amp;(H27+N27-I27),(H27+N27-I27))))&amp;""</f>
        <v/>
      </c>
      <c r="K27" s="58"/>
      <c r="L27" s="6"/>
      <c r="M27" s="10"/>
      <c r="N27" s="75" t="str">
        <f t="shared" ref="N27" si="4">N24&amp;""</f>
        <v>4787</v>
      </c>
      <c r="R27" s="18"/>
      <c r="S27" s="18"/>
      <c r="T27" s="18"/>
      <c r="U27" s="18"/>
    </row>
    <row r="28" spans="1:21" ht="24.95" customHeight="1" x14ac:dyDescent="0.15">
      <c r="A28" s="128"/>
      <c r="B28" s="104" t="s">
        <v>42</v>
      </c>
      <c r="C28" s="143"/>
      <c r="D28" s="144"/>
      <c r="E28" s="143"/>
      <c r="F28" s="144"/>
      <c r="G28" s="62" t="s">
        <v>4</v>
      </c>
      <c r="H28" s="67"/>
      <c r="I28" s="67"/>
      <c r="J28" s="74" t="str">
        <f>IF(H28-I28=0,"",IF(OR((H28+N28-I28)&gt;3,(H28+N28-I28)&lt;-3),"超限",IF(AND((H28+N28-I28)&lt;=3,(H28+N28-I28)&gt;0),"+"&amp;(H28+N28-I28),(H28+N28-I28))))</f>
        <v/>
      </c>
      <c r="K28" s="76"/>
      <c r="L28" s="6"/>
      <c r="M28" s="10"/>
      <c r="N28" s="75" t="str">
        <f t="shared" ref="N28" si="5">N23&amp;""</f>
        <v>4687</v>
      </c>
      <c r="R28" s="18"/>
      <c r="S28" s="18"/>
      <c r="T28" s="18"/>
      <c r="U28" s="18"/>
    </row>
    <row r="29" spans="1:21" ht="24.95" customHeight="1" x14ac:dyDescent="0.15">
      <c r="A29" s="128"/>
      <c r="B29" s="104"/>
      <c r="C29" s="141">
        <f>(C27-C28)/10</f>
        <v>0</v>
      </c>
      <c r="D29" s="142"/>
      <c r="E29" s="141">
        <f>(E27-E28)/10</f>
        <v>0</v>
      </c>
      <c r="F29" s="142"/>
      <c r="G29" s="64" t="s">
        <v>34</v>
      </c>
      <c r="H29" s="68">
        <f>IF((H27-H28)/1000&gt;0,"+"&amp;(H27-H28)/1000,(H27-H28)/1000)</f>
        <v>0</v>
      </c>
      <c r="I29" s="68">
        <f>IF((I27-I28)/1000&gt;0,"+"&amp;(I27-I28)/1000,(I27-I28)/1000)</f>
        <v>0</v>
      </c>
      <c r="J29" s="77" t="str">
        <f>IF(H29-I29=0,"",IF((IF(ABS(J27-J28)&gt;5,"超限",J27-J28))&gt;0,"+"&amp;(J27-J28),(J27-J28)))&amp;""</f>
        <v/>
      </c>
      <c r="K29" s="78">
        <f>IF(H29-I29=0,0,IF(H29-I29&gt;0,(H29+I29+0.1)/2,(H29+I29-0.1)/2))</f>
        <v>0</v>
      </c>
      <c r="L29" s="6"/>
      <c r="M29" s="10"/>
      <c r="N29" s="11">
        <v>0</v>
      </c>
    </row>
    <row r="30" spans="1:21" ht="24.95" customHeight="1" x14ac:dyDescent="0.15">
      <c r="A30" s="140"/>
      <c r="B30" s="94"/>
      <c r="C30" s="132">
        <f>IF(C27=C28,0,IF(ABS((C29-E29))&gt;3,"超限",ROUND((C29-E29),1))&amp;"")</f>
        <v>0</v>
      </c>
      <c r="D30" s="133"/>
      <c r="E30" s="134" t="str">
        <f>IF(C30=0,"",IF((ABS(C30+E26))&gt;10,"超限",C30+E26))</f>
        <v/>
      </c>
      <c r="F30" s="135"/>
      <c r="G30" s="30"/>
      <c r="H30" s="103"/>
      <c r="I30" s="103"/>
      <c r="J30" s="65"/>
      <c r="K30" s="61"/>
      <c r="L30" s="6"/>
      <c r="M30" s="10"/>
      <c r="N30" s="11">
        <v>0</v>
      </c>
    </row>
    <row r="31" spans="1:21" ht="24.95" customHeight="1" x14ac:dyDescent="0.15">
      <c r="A31" s="57">
        <v>6</v>
      </c>
      <c r="B31" s="94"/>
      <c r="C31" s="143"/>
      <c r="D31" s="144"/>
      <c r="E31" s="143"/>
      <c r="F31" s="144"/>
      <c r="G31" s="62" t="s">
        <v>2</v>
      </c>
      <c r="H31" s="67"/>
      <c r="I31" s="67"/>
      <c r="J31" s="74" t="str">
        <f>IF(H31-I31=0,"",IF(OR((H31+N31-I31)&gt;3,(H31+N31-I31)&lt;-3),"超限",IF(AND((H31+N31-I31)&lt;=3,(H31+N31-I31)&gt;0),"+"&amp;(H31+N31-I31),(H31+N31-I31))))&amp;""</f>
        <v/>
      </c>
      <c r="K31" s="58"/>
      <c r="L31" s="6"/>
      <c r="M31" s="10"/>
      <c r="N31" s="75" t="str">
        <f t="shared" ref="N31" si="6">N28&amp;""</f>
        <v>4687</v>
      </c>
    </row>
    <row r="32" spans="1:21" ht="24.95" customHeight="1" x14ac:dyDescent="0.15">
      <c r="A32" s="59"/>
      <c r="B32" s="104" t="s">
        <v>42</v>
      </c>
      <c r="C32" s="143"/>
      <c r="D32" s="144"/>
      <c r="E32" s="143"/>
      <c r="F32" s="144"/>
      <c r="G32" s="62" t="s">
        <v>4</v>
      </c>
      <c r="H32" s="67"/>
      <c r="I32" s="67"/>
      <c r="J32" s="74" t="str">
        <f>IF(H32-I32=0,"",IF(OR((H32+N32-I32)&gt;3,(H32+N32-I32)&lt;-3),"超限",IF(AND((H32+N32-I32)&lt;=3,(H32+N32-I32)&gt;0),"+"&amp;(H32+N32-I32),(H32+N32-I32))))</f>
        <v/>
      </c>
      <c r="K32" s="76"/>
      <c r="L32" s="2"/>
      <c r="M32" s="10"/>
      <c r="N32" s="75" t="str">
        <f t="shared" ref="N32" si="7">N27&amp;""</f>
        <v>4787</v>
      </c>
    </row>
    <row r="33" spans="1:15" ht="24.95" customHeight="1" x14ac:dyDescent="0.15">
      <c r="A33" s="59"/>
      <c r="B33" s="104"/>
      <c r="C33" s="141">
        <f>(C31-C32)/10</f>
        <v>0</v>
      </c>
      <c r="D33" s="142"/>
      <c r="E33" s="141">
        <f>(E31-E32)/10</f>
        <v>0</v>
      </c>
      <c r="F33" s="142"/>
      <c r="G33" s="64" t="s">
        <v>34</v>
      </c>
      <c r="H33" s="68">
        <f>IF((H31-H32)/1000&gt;0,"+"&amp;(H31-H32)/1000,(H31-H32)/1000)</f>
        <v>0</v>
      </c>
      <c r="I33" s="68">
        <f>IF((I31-I32)/1000&gt;0,"+"&amp;(I31-I32)/1000,(I31-I32)/1000)</f>
        <v>0</v>
      </c>
      <c r="J33" s="77" t="str">
        <f>IF(H33-I33=0,"",IF((IF(ABS(J31-J32)&gt;5,"超限",J31-J32))&gt;0,"+"&amp;(J31-J32),(J31-J32)))&amp;""</f>
        <v/>
      </c>
      <c r="K33" s="78">
        <f>IF(H33-I33=0,0,IF(H33-I33&gt;0,(H33+I33+0.1)/2,(H33+I33-0.1)/2))</f>
        <v>0</v>
      </c>
      <c r="L33" s="2"/>
      <c r="M33" s="10"/>
      <c r="N33" s="11">
        <v>0</v>
      </c>
    </row>
    <row r="34" spans="1:15" ht="24.95" customHeight="1" x14ac:dyDescent="0.15">
      <c r="A34" s="30"/>
      <c r="B34" s="94"/>
      <c r="C34" s="132">
        <f>IF(C31=C32,0,IF(ABS((C33-E33))&gt;3,"超限",ROUND((C33-E33),1))&amp;"")</f>
        <v>0</v>
      </c>
      <c r="D34" s="133"/>
      <c r="E34" s="134" t="str">
        <f>IF(C34=0,"",IF((ABS(C34+E30))&gt;10,"超限",C34+E30))</f>
        <v/>
      </c>
      <c r="F34" s="135"/>
      <c r="G34" s="30"/>
      <c r="H34" s="103"/>
      <c r="I34" s="103"/>
      <c r="J34" s="65"/>
      <c r="K34" s="61"/>
      <c r="L34" s="2"/>
      <c r="M34" s="10"/>
      <c r="N34" s="11">
        <v>0</v>
      </c>
    </row>
    <row r="35" spans="1:15" ht="24.95" customHeight="1" x14ac:dyDescent="0.15">
      <c r="A35" s="124">
        <v>7</v>
      </c>
      <c r="B35" s="94"/>
      <c r="C35" s="143"/>
      <c r="D35" s="144"/>
      <c r="E35" s="143"/>
      <c r="F35" s="144"/>
      <c r="G35" s="62" t="s">
        <v>2</v>
      </c>
      <c r="H35" s="67"/>
      <c r="I35" s="67"/>
      <c r="J35" s="74" t="str">
        <f>IF(H35-I35=0,"",IF(OR((H35+N35-I35)&gt;3,(H35+N35-I35)&lt;-3),"超限",IF(AND((H35+N35-I35)&lt;=3,(H35+N35-I35)&gt;0),"+"&amp;(H35+N35-I35),(H35+N35-I35))))&amp;""</f>
        <v/>
      </c>
      <c r="K35" s="58"/>
      <c r="L35" s="2"/>
      <c r="M35" s="10"/>
      <c r="N35" s="75" t="str">
        <f t="shared" ref="N35" si="8">N32&amp;""</f>
        <v>4787</v>
      </c>
    </row>
    <row r="36" spans="1:15" ht="24.95" customHeight="1" x14ac:dyDescent="0.15">
      <c r="A36" s="128"/>
      <c r="B36" s="104" t="s">
        <v>42</v>
      </c>
      <c r="C36" s="143"/>
      <c r="D36" s="144"/>
      <c r="E36" s="143"/>
      <c r="F36" s="144"/>
      <c r="G36" s="62" t="s">
        <v>4</v>
      </c>
      <c r="H36" s="67"/>
      <c r="I36" s="67"/>
      <c r="J36" s="74" t="str">
        <f>IF(H36-I36=0,"",IF(OR((H36+N36-I36)&gt;3,(H36+N36-I36)&lt;-3),"超限",IF(AND((H36+N36-I36)&lt;=3,(H36+N36-I36)&gt;0),"+"&amp;(H36+N36-I36),(H36+N36-I36))))</f>
        <v/>
      </c>
      <c r="K36" s="76"/>
      <c r="L36" s="2"/>
      <c r="M36" s="10"/>
      <c r="N36" s="75" t="str">
        <f t="shared" ref="N36" si="9">N31&amp;""</f>
        <v>4687</v>
      </c>
    </row>
    <row r="37" spans="1:15" ht="24.95" customHeight="1" x14ac:dyDescent="0.15">
      <c r="A37" s="128"/>
      <c r="B37" s="104"/>
      <c r="C37" s="141">
        <f>(C35-C36)/10</f>
        <v>0</v>
      </c>
      <c r="D37" s="142"/>
      <c r="E37" s="141">
        <f>(E35-E36)/10</f>
        <v>0</v>
      </c>
      <c r="F37" s="142"/>
      <c r="G37" s="64" t="s">
        <v>34</v>
      </c>
      <c r="H37" s="68">
        <f>IF((H35-H36)/1000&gt;0,"+"&amp;(H35-H36)/1000,(H35-H36)/1000)</f>
        <v>0</v>
      </c>
      <c r="I37" s="68">
        <f>IF((I35-I36)/1000&gt;0,"+"&amp;(I35-I36)/1000,(I35-I36)/1000)</f>
        <v>0</v>
      </c>
      <c r="J37" s="77" t="str">
        <f>IF(H37-I37=0,"",IF((IF(ABS(J35-J36)&gt;5,"超限",J35-J36))&gt;0,"+"&amp;(J35-J36),(J35-J36)))&amp;""</f>
        <v/>
      </c>
      <c r="K37" s="78">
        <f>IF(H37-I37=0,0,IF(H37-I37&gt;0,(H37+I37+0.1)/2,(H37+I37-0.1)/2))</f>
        <v>0</v>
      </c>
      <c r="L37" s="2"/>
      <c r="M37" s="10"/>
      <c r="N37" s="11">
        <v>0</v>
      </c>
    </row>
    <row r="38" spans="1:15" ht="24.95" customHeight="1" x14ac:dyDescent="0.15">
      <c r="A38" s="140"/>
      <c r="B38" s="94"/>
      <c r="C38" s="132">
        <f>IF(C35=C36,0,IF(ABS((C37-E37))&gt;3,"超限",ROUND((C37-E37),1))&amp;"")</f>
        <v>0</v>
      </c>
      <c r="D38" s="133"/>
      <c r="E38" s="134" t="str">
        <f>IF(C38=0,"",IF((ABS(C38+E34))&gt;10,"超限",C38+E34))</f>
        <v/>
      </c>
      <c r="F38" s="135"/>
      <c r="G38" s="30"/>
      <c r="H38" s="103"/>
      <c r="I38" s="103"/>
      <c r="J38" s="65"/>
      <c r="K38" s="61"/>
      <c r="L38" s="2"/>
      <c r="M38" s="10"/>
      <c r="N38" s="11">
        <v>0</v>
      </c>
    </row>
    <row r="39" spans="1:15" ht="24.95" customHeight="1" x14ac:dyDescent="0.15">
      <c r="A39" s="124">
        <v>8</v>
      </c>
      <c r="B39" s="94"/>
      <c r="C39" s="143"/>
      <c r="D39" s="144"/>
      <c r="E39" s="143"/>
      <c r="F39" s="144"/>
      <c r="G39" s="62" t="s">
        <v>2</v>
      </c>
      <c r="H39" s="67"/>
      <c r="I39" s="67"/>
      <c r="J39" s="74" t="str">
        <f>IF(H39-I39=0,"",IF(OR((H39+N39-I39)&gt;3,(H39+N39-I39)&lt;-3),"超限",IF(AND((H39+N39-I39)&lt;=3,(H39+N39-I39)&gt;0),"+"&amp;(H39+N39-I39),(H39+N39-I39))))&amp;""</f>
        <v/>
      </c>
      <c r="K39" s="58"/>
      <c r="L39" s="6"/>
      <c r="M39" s="10"/>
      <c r="N39" s="75" t="str">
        <f t="shared" ref="N39" si="10">N36&amp;""</f>
        <v>4687</v>
      </c>
    </row>
    <row r="40" spans="1:15" ht="24.95" customHeight="1" x14ac:dyDescent="0.15">
      <c r="A40" s="128"/>
      <c r="B40" s="104" t="s">
        <v>42</v>
      </c>
      <c r="C40" s="143"/>
      <c r="D40" s="144"/>
      <c r="E40" s="143"/>
      <c r="F40" s="144"/>
      <c r="G40" s="62" t="s">
        <v>4</v>
      </c>
      <c r="H40" s="67"/>
      <c r="I40" s="67"/>
      <c r="J40" s="74" t="str">
        <f>IF(H40-I40=0,"",IF(OR((H40+N40-I40)&gt;3,(H40+N40-I40)&lt;-3),"超限",IF(AND((H40+N40-I40)&lt;=3,(H40+N40-I40)&gt;0),"+"&amp;(H40+N40-I40),(H40+N40-I40))))</f>
        <v/>
      </c>
      <c r="K40" s="76"/>
      <c r="L40" s="6"/>
      <c r="M40" s="10"/>
      <c r="N40" s="75" t="str">
        <f t="shared" ref="N40" si="11">N35&amp;""</f>
        <v>4787</v>
      </c>
      <c r="O40" s="6"/>
    </row>
    <row r="41" spans="1:15" ht="24.95" customHeight="1" x14ac:dyDescent="0.15">
      <c r="A41" s="128"/>
      <c r="B41" s="104"/>
      <c r="C41" s="141">
        <f>(C39-C40)/10</f>
        <v>0</v>
      </c>
      <c r="D41" s="142"/>
      <c r="E41" s="141">
        <f>(E39-E40)/10</f>
        <v>0</v>
      </c>
      <c r="F41" s="142"/>
      <c r="G41" s="64" t="s">
        <v>34</v>
      </c>
      <c r="H41" s="68">
        <f>IF((H39-H40)/1000&gt;0,"+"&amp;(H39-H40)/1000,(H39-H40)/1000)</f>
        <v>0</v>
      </c>
      <c r="I41" s="68">
        <f>IF((I39-I40)/1000&gt;0,"+"&amp;(I39-I40)/1000,(I39-I40)/1000)</f>
        <v>0</v>
      </c>
      <c r="J41" s="77" t="str">
        <f>IF(H41-I41=0,"",IF((IF(ABS(J39-J40)&gt;5,"超限",J39-J40))&gt;0,"+"&amp;(J39-J40),(J39-J40)))&amp;""</f>
        <v/>
      </c>
      <c r="K41" s="78">
        <f>IF(H41-I41=0,0,IF(H41-I41&gt;0,(H41+I41+0.1)/2,(H41+I41-0.1)/2))</f>
        <v>0</v>
      </c>
      <c r="L41" s="6"/>
      <c r="M41" s="10"/>
      <c r="N41" s="11">
        <v>0</v>
      </c>
      <c r="O41" s="6"/>
    </row>
    <row r="42" spans="1:15" ht="24.95" customHeight="1" x14ac:dyDescent="0.15">
      <c r="A42" s="129"/>
      <c r="B42" s="94"/>
      <c r="C42" s="132">
        <f>IF(C39=C40,0,IF(ABS((C41-E41))&gt;3,"超限",ROUND((C41-E41),1))&amp;"")</f>
        <v>0</v>
      </c>
      <c r="D42" s="133"/>
      <c r="E42" s="134" t="str">
        <f>IF(C42=0,"",IF((ABS(C42+E38))&gt;10,"超限",C42+E38))</f>
        <v/>
      </c>
      <c r="F42" s="135"/>
      <c r="G42" s="30"/>
      <c r="H42" s="103"/>
      <c r="I42" s="103"/>
      <c r="J42" s="65"/>
      <c r="K42" s="61"/>
      <c r="L42" s="8"/>
      <c r="M42" s="12"/>
      <c r="N42" s="11">
        <v>0</v>
      </c>
      <c r="O42" s="6"/>
    </row>
    <row r="43" spans="1:15" ht="24.95" customHeight="1" x14ac:dyDescent="0.15">
      <c r="A43" s="124">
        <v>9</v>
      </c>
      <c r="B43" s="94"/>
      <c r="C43" s="143"/>
      <c r="D43" s="144"/>
      <c r="E43" s="143"/>
      <c r="F43" s="144"/>
      <c r="G43" s="62" t="s">
        <v>2</v>
      </c>
      <c r="H43" s="67"/>
      <c r="I43" s="67"/>
      <c r="J43" s="74" t="str">
        <f>IF(H43-I43=0,"",IF(OR((H43+N43-I43)&gt;3,(H43+N43-I43)&lt;-3),"超限",IF(AND((H43+N43-I43)&lt;=3,(H43+N43-I43)&gt;0),"+"&amp;(H43+N43-I43),(H43+N43-I43))))&amp;""</f>
        <v/>
      </c>
      <c r="K43" s="58"/>
      <c r="L43" s="6"/>
      <c r="M43" s="10"/>
      <c r="N43" s="75" t="str">
        <f t="shared" ref="N43" si="12">N40&amp;""</f>
        <v>4787</v>
      </c>
    </row>
    <row r="44" spans="1:15" ht="24.95" customHeight="1" x14ac:dyDescent="0.15">
      <c r="A44" s="128"/>
      <c r="B44" s="104" t="s">
        <v>42</v>
      </c>
      <c r="C44" s="143"/>
      <c r="D44" s="144"/>
      <c r="E44" s="143"/>
      <c r="F44" s="144"/>
      <c r="G44" s="62" t="s">
        <v>4</v>
      </c>
      <c r="H44" s="67"/>
      <c r="I44" s="67"/>
      <c r="J44" s="74" t="str">
        <f>IF(H44-I44=0,"",IF(OR((H44+N44-I44)&gt;3,(H44+N44-I44)&lt;-3),"超限",IF(AND((H44+N44-I44)&lt;=3,(H44+N44-I44)&gt;0),"+"&amp;(H44+N44-I44),(H44+N44-I44))))</f>
        <v/>
      </c>
      <c r="K44" s="76"/>
      <c r="L44" s="6"/>
      <c r="M44" s="10"/>
      <c r="N44" s="75" t="str">
        <f t="shared" ref="N44" si="13">N39&amp;""</f>
        <v>4687</v>
      </c>
    </row>
    <row r="45" spans="1:15" ht="24.95" customHeight="1" x14ac:dyDescent="0.15">
      <c r="A45" s="128"/>
      <c r="B45" s="104"/>
      <c r="C45" s="141">
        <f>(C43-C44)/10</f>
        <v>0</v>
      </c>
      <c r="D45" s="142"/>
      <c r="E45" s="141">
        <f>(E43-E44)/10</f>
        <v>0</v>
      </c>
      <c r="F45" s="142"/>
      <c r="G45" s="64" t="s">
        <v>34</v>
      </c>
      <c r="H45" s="68">
        <f>IF((H43-H44)/1000&gt;0,"+"&amp;(H43-H44)/1000,(H43-H44)/1000)</f>
        <v>0</v>
      </c>
      <c r="I45" s="68">
        <f>IF((I43-I44)/1000&gt;0,"+"&amp;(I43-I44)/1000,(I43-I44)/1000)</f>
        <v>0</v>
      </c>
      <c r="J45" s="77" t="str">
        <f>IF(H45-I45=0,"",IF((IF(ABS(J43-J44)&gt;5,"超限",J43-J44))&gt;0,"+"&amp;(J43-J44),(J43-J44)))&amp;""</f>
        <v/>
      </c>
      <c r="K45" s="78">
        <f>IF(H45-I45=0,0,IF(H45-I45&gt;0,(H45+I45+0.1)/2,(H45+I45-0.1)/2))</f>
        <v>0</v>
      </c>
      <c r="L45" s="6"/>
      <c r="M45" s="10"/>
      <c r="N45" s="11">
        <v>0</v>
      </c>
    </row>
    <row r="46" spans="1:15" ht="24.95" customHeight="1" x14ac:dyDescent="0.15">
      <c r="A46" s="129"/>
      <c r="B46" s="94"/>
      <c r="C46" s="132">
        <f>IF(C43=C44,0,IF(ABS((C45-E45))&gt;3,"超限",ROUND((C45-E45),1))&amp;"")</f>
        <v>0</v>
      </c>
      <c r="D46" s="133"/>
      <c r="E46" s="134" t="str">
        <f>IF(C46=0,"",IF((ABS(C46+E42))&gt;10,"超限",C46+E42))</f>
        <v/>
      </c>
      <c r="F46" s="135"/>
      <c r="G46" s="30"/>
      <c r="H46" s="103"/>
      <c r="I46" s="103"/>
      <c r="J46" s="65"/>
      <c r="K46" s="61"/>
      <c r="L46" s="6"/>
      <c r="M46" s="10"/>
      <c r="N46" s="11">
        <v>0</v>
      </c>
    </row>
    <row r="47" spans="1:15" ht="24.95" customHeight="1" x14ac:dyDescent="0.15">
      <c r="A47" s="124">
        <v>10</v>
      </c>
      <c r="B47" s="94"/>
      <c r="C47" s="143"/>
      <c r="D47" s="144"/>
      <c r="E47" s="143"/>
      <c r="F47" s="144"/>
      <c r="G47" s="62" t="s">
        <v>2</v>
      </c>
      <c r="H47" s="67"/>
      <c r="I47" s="67"/>
      <c r="J47" s="74" t="str">
        <f>IF(H47-I47=0,"",IF(OR((H47+N47-I47)&gt;3,(H47+N47-I47)&lt;-3),"超限",IF(AND((H47+N47-I47)&lt;=3,(H47+N47-I47)&gt;0),"+"&amp;(H47+N47-I47),(H47+N47-I47))))&amp;""</f>
        <v/>
      </c>
      <c r="K47" s="58"/>
      <c r="L47" s="6"/>
      <c r="M47" s="10"/>
      <c r="N47" s="75" t="str">
        <f t="shared" ref="N47" si="14">N44&amp;""</f>
        <v>4687</v>
      </c>
    </row>
    <row r="48" spans="1:15" ht="24.95" customHeight="1" x14ac:dyDescent="0.15">
      <c r="A48" s="128"/>
      <c r="B48" s="104" t="s">
        <v>42</v>
      </c>
      <c r="C48" s="143"/>
      <c r="D48" s="144"/>
      <c r="E48" s="143"/>
      <c r="F48" s="144"/>
      <c r="G48" s="62" t="s">
        <v>4</v>
      </c>
      <c r="H48" s="67"/>
      <c r="I48" s="67"/>
      <c r="J48" s="74" t="str">
        <f>IF(H48-I48=0,"",IF(OR((H48+N48-I48)&gt;3,(H48+N48-I48)&lt;-3),"超限",IF(AND((H48+N48-I48)&lt;=3,(H48+N48-I48)&gt;0),"+"&amp;(H48+N48-I48),(H48+N48-I48))))</f>
        <v/>
      </c>
      <c r="K48" s="76"/>
      <c r="L48" s="6"/>
      <c r="M48" s="10"/>
      <c r="N48" s="75" t="str">
        <f t="shared" ref="N48" si="15">N43&amp;""</f>
        <v>4787</v>
      </c>
    </row>
    <row r="49" spans="1:14" ht="24.95" customHeight="1" x14ac:dyDescent="0.15">
      <c r="A49" s="128"/>
      <c r="B49" s="104"/>
      <c r="C49" s="141">
        <f>(C47-C48)/10</f>
        <v>0</v>
      </c>
      <c r="D49" s="142"/>
      <c r="E49" s="141">
        <f>(E47-E48)/10</f>
        <v>0</v>
      </c>
      <c r="F49" s="142"/>
      <c r="G49" s="64" t="s">
        <v>34</v>
      </c>
      <c r="H49" s="68">
        <f>IF((H47-H48)/1000&gt;0,"+"&amp;(H47-H48)/1000,(H47-H48)/1000)</f>
        <v>0</v>
      </c>
      <c r="I49" s="68">
        <f>IF((I47-I48)/1000&gt;0,"+"&amp;(I47-I48)/1000,(I47-I48)/1000)</f>
        <v>0</v>
      </c>
      <c r="J49" s="77" t="str">
        <f>IF(H49-I49=0,"",IF((IF(ABS(J47-J48)&gt;5,"超限",J47-J48))&gt;0,"+"&amp;(J47-J48),(J47-J48)))&amp;""</f>
        <v/>
      </c>
      <c r="K49" s="78">
        <f>IF(H49-I49=0,0,IF(H49-I49&gt;0,(H49+I49+0.1)/2,(H49+I49-0.1)/2))</f>
        <v>0</v>
      </c>
      <c r="L49" s="6"/>
      <c r="M49" s="10"/>
      <c r="N49" s="11">
        <v>0</v>
      </c>
    </row>
    <row r="50" spans="1:14" ht="24.95" customHeight="1" x14ac:dyDescent="0.15">
      <c r="A50" s="129"/>
      <c r="B50" s="94"/>
      <c r="C50" s="132">
        <f>IF(C47=C48,0,IF(ABS((C49-E49))&gt;3,"超限",ROUND((C49-E49),1))&amp;"")</f>
        <v>0</v>
      </c>
      <c r="D50" s="133"/>
      <c r="E50" s="134" t="str">
        <f>IF(C50=0,"",IF((ABS(C50+E46))&gt;10,"超限",C50+E46))</f>
        <v/>
      </c>
      <c r="F50" s="135"/>
      <c r="G50" s="30"/>
      <c r="H50" s="103"/>
      <c r="I50" s="103"/>
      <c r="J50" s="65"/>
      <c r="K50" s="61"/>
      <c r="L50" s="6"/>
      <c r="M50" s="10"/>
      <c r="N50" s="11">
        <v>0</v>
      </c>
    </row>
    <row r="51" spans="1:14" ht="24.95" customHeight="1" x14ac:dyDescent="0.15">
      <c r="A51" s="124">
        <v>11</v>
      </c>
      <c r="B51" s="94"/>
      <c r="C51" s="143"/>
      <c r="D51" s="144"/>
      <c r="E51" s="143"/>
      <c r="F51" s="144"/>
      <c r="G51" s="62" t="s">
        <v>2</v>
      </c>
      <c r="H51" s="67"/>
      <c r="I51" s="67"/>
      <c r="J51" s="74" t="str">
        <f>IF(H51-I51=0,"",IF(OR((H51+N51-I51)&gt;3,(H51+N51-I51)&lt;-3),"超限",IF(AND((H51+N51-I51)&lt;=3,(H51+N51-I51)&gt;0),"+"&amp;(H51+N51-I51),(H51+N51-I51))))&amp;""</f>
        <v/>
      </c>
      <c r="K51" s="58"/>
      <c r="L51" s="6"/>
      <c r="M51" s="10"/>
      <c r="N51" s="75" t="str">
        <f t="shared" ref="N51" si="16">N48&amp;""</f>
        <v>4787</v>
      </c>
    </row>
    <row r="52" spans="1:14" ht="24.95" customHeight="1" x14ac:dyDescent="0.15">
      <c r="A52" s="128"/>
      <c r="B52" s="104" t="s">
        <v>42</v>
      </c>
      <c r="C52" s="143"/>
      <c r="D52" s="144"/>
      <c r="E52" s="143"/>
      <c r="F52" s="144"/>
      <c r="G52" s="62" t="s">
        <v>4</v>
      </c>
      <c r="H52" s="67"/>
      <c r="I52" s="67"/>
      <c r="J52" s="74" t="str">
        <f>IF(H52-I52=0,"",IF(OR((H52+N52-I52)&gt;3,(H52+N52-I52)&lt;-3),"超限",IF(AND((H52+N52-I52)&lt;=3,(H52+N52-I52)&gt;0),"+"&amp;(H52+N52-I52),(H52+N52-I52))))</f>
        <v/>
      </c>
      <c r="K52" s="76"/>
      <c r="L52" s="6"/>
      <c r="M52" s="10"/>
      <c r="N52" s="75" t="str">
        <f t="shared" ref="N52" si="17">N47&amp;""</f>
        <v>4687</v>
      </c>
    </row>
    <row r="53" spans="1:14" ht="24.95" customHeight="1" x14ac:dyDescent="0.15">
      <c r="A53" s="128"/>
      <c r="B53" s="104"/>
      <c r="C53" s="141">
        <f>(C51-C52)/10</f>
        <v>0</v>
      </c>
      <c r="D53" s="142"/>
      <c r="E53" s="141">
        <f>(E51-E52)/10</f>
        <v>0</v>
      </c>
      <c r="F53" s="142"/>
      <c r="G53" s="64" t="s">
        <v>34</v>
      </c>
      <c r="H53" s="68">
        <f>IF((H51-H52)/1000&gt;0,"+"&amp;(H51-H52)/1000,(H51-H52)/1000)</f>
        <v>0</v>
      </c>
      <c r="I53" s="68">
        <f>IF((I51-I52)/1000&gt;0,"+"&amp;(I51-I52)/1000,(I51-I52)/1000)</f>
        <v>0</v>
      </c>
      <c r="J53" s="77" t="str">
        <f>IF(H53-I53=0,"",IF((IF(ABS(J51-J52)&gt;5,"超限",J51-J52))&gt;0,"+"&amp;(J51-J52),(J51-J52)))&amp;""</f>
        <v/>
      </c>
      <c r="K53" s="78">
        <f>IF(H53-I53=0,0,IF(H53-I53&gt;0,(H53+I53+0.1)/2,(H53+I53-0.1)/2))</f>
        <v>0</v>
      </c>
      <c r="L53" s="6"/>
      <c r="M53" s="10"/>
      <c r="N53" s="11">
        <v>0</v>
      </c>
    </row>
    <row r="54" spans="1:14" ht="24.95" customHeight="1" x14ac:dyDescent="0.15">
      <c r="A54" s="129"/>
      <c r="B54" s="94"/>
      <c r="C54" s="132">
        <f>IF(C51=C52,0,IF(ABS((C53-E53))&gt;3,"超限",ROUND((C53-E53),1))&amp;"")</f>
        <v>0</v>
      </c>
      <c r="D54" s="133"/>
      <c r="E54" s="134" t="str">
        <f>IF(C54=0,"",IF((ABS(C54+E50))&gt;10,"超限",C54+E50))</f>
        <v/>
      </c>
      <c r="F54" s="135"/>
      <c r="G54" s="30"/>
      <c r="H54" s="103"/>
      <c r="I54" s="103"/>
      <c r="J54" s="65"/>
      <c r="K54" s="61"/>
      <c r="L54" s="6"/>
      <c r="M54" s="10"/>
      <c r="N54" s="11">
        <v>0</v>
      </c>
    </row>
    <row r="55" spans="1:14" ht="24.95" customHeight="1" x14ac:dyDescent="0.15">
      <c r="A55" s="124">
        <v>12</v>
      </c>
      <c r="B55" s="94"/>
      <c r="C55" s="143"/>
      <c r="D55" s="144"/>
      <c r="E55" s="143"/>
      <c r="F55" s="144"/>
      <c r="G55" s="62" t="s">
        <v>2</v>
      </c>
      <c r="H55" s="67"/>
      <c r="I55" s="67"/>
      <c r="J55" s="74" t="str">
        <f>IF(H55-I55=0,"",IF(OR((H55+N55-I55)&gt;3,(H55+N55-I55)&lt;-3),"超限",IF(AND((H55+N55-I55)&lt;=3,(H55+N55-I55)&gt;0),"+"&amp;(H55+N55-I55),(H55+N55-I55))))&amp;""</f>
        <v/>
      </c>
      <c r="K55" s="58"/>
      <c r="L55" s="6"/>
      <c r="M55" s="10"/>
      <c r="N55" s="75" t="str">
        <f t="shared" ref="N55" si="18">N52&amp;""</f>
        <v>4687</v>
      </c>
    </row>
    <row r="56" spans="1:14" ht="24.95" customHeight="1" x14ac:dyDescent="0.15">
      <c r="A56" s="128"/>
      <c r="B56" s="104" t="s">
        <v>42</v>
      </c>
      <c r="C56" s="143"/>
      <c r="D56" s="144"/>
      <c r="E56" s="143"/>
      <c r="F56" s="144"/>
      <c r="G56" s="62" t="s">
        <v>4</v>
      </c>
      <c r="H56" s="67"/>
      <c r="I56" s="67"/>
      <c r="J56" s="74" t="str">
        <f>IF(H56-I56=0,"",IF(OR((H56+N56-I56)&gt;3,(H56+N56-I56)&lt;-3),"超限",IF(AND((H56+N56-I56)&lt;=3,(H56+N56-I56)&gt;0),"+"&amp;(H56+N56-I56),(H56+N56-I56))))</f>
        <v/>
      </c>
      <c r="K56" s="76"/>
      <c r="L56" s="6"/>
      <c r="M56" s="10"/>
      <c r="N56" s="75" t="str">
        <f t="shared" ref="N56" si="19">N51&amp;""</f>
        <v>4787</v>
      </c>
    </row>
    <row r="57" spans="1:14" ht="24.95" customHeight="1" x14ac:dyDescent="0.15">
      <c r="A57" s="128"/>
      <c r="B57" s="104"/>
      <c r="C57" s="141">
        <f>(C55-C56)/10</f>
        <v>0</v>
      </c>
      <c r="D57" s="142"/>
      <c r="E57" s="141">
        <f>(E55-E56)/10</f>
        <v>0</v>
      </c>
      <c r="F57" s="142"/>
      <c r="G57" s="64" t="s">
        <v>34</v>
      </c>
      <c r="H57" s="68">
        <f>IF((H55-H56)/1000&gt;0,"+"&amp;(H55-H56)/1000,(H55-H56)/1000)</f>
        <v>0</v>
      </c>
      <c r="I57" s="68">
        <f>IF((I55-I56)/1000&gt;0,"+"&amp;(I55-I56)/1000,(I55-I56)/1000)</f>
        <v>0</v>
      </c>
      <c r="J57" s="77" t="str">
        <f>IF(H57-I57=0,"",IF((IF(ABS(J55-J56)&gt;5,"超限",J55-J56))&gt;0,"+"&amp;(J55-J56),(J55-J56)))&amp;""</f>
        <v/>
      </c>
      <c r="K57" s="78">
        <f>IF(H57-I57=0,0,IF(H57-I57&gt;0,(H57+I57+0.1)/2,(H57+I57-0.1)/2))</f>
        <v>0</v>
      </c>
      <c r="L57" s="6"/>
      <c r="M57" s="10"/>
      <c r="N57" s="11">
        <v>0</v>
      </c>
    </row>
    <row r="58" spans="1:14" ht="24.95" customHeight="1" x14ac:dyDescent="0.15">
      <c r="A58" s="129"/>
      <c r="B58" s="94"/>
      <c r="C58" s="132">
        <f>IF(C55=C56,0,IF(ABS((C57-E57))&gt;3,"超限",ROUND((C57-E57),1))&amp;"")</f>
        <v>0</v>
      </c>
      <c r="D58" s="133"/>
      <c r="E58" s="134" t="str">
        <f>IF(C58=0,"",IF((ABS(C58+E54))&gt;10,"超限",C58+E54))</f>
        <v/>
      </c>
      <c r="F58" s="135"/>
      <c r="G58" s="30"/>
      <c r="H58" s="103"/>
      <c r="I58" s="103"/>
      <c r="J58" s="65"/>
      <c r="K58" s="61"/>
      <c r="L58" s="6"/>
      <c r="M58" s="10"/>
      <c r="N58" s="11">
        <v>0</v>
      </c>
    </row>
    <row r="59" spans="1:14" ht="24.95" customHeight="1" x14ac:dyDescent="0.15">
      <c r="A59" s="124">
        <v>13</v>
      </c>
      <c r="B59" s="94"/>
      <c r="C59" s="143"/>
      <c r="D59" s="144"/>
      <c r="E59" s="143"/>
      <c r="F59" s="144"/>
      <c r="G59" s="62" t="s">
        <v>2</v>
      </c>
      <c r="H59" s="67"/>
      <c r="I59" s="67"/>
      <c r="J59" s="74" t="str">
        <f>IF(H59-I59=0,"",IF(OR((H59+N59-I59)&gt;3,(H59+N59-I59)&lt;-3),"超限",IF(AND((H59+N59-I59)&lt;=3,(H59+N59-I59)&gt;0),"+"&amp;(H59+N59-I59),(H59+N59-I59))))&amp;""</f>
        <v/>
      </c>
      <c r="K59" s="58"/>
      <c r="L59" s="6"/>
      <c r="M59" s="10"/>
      <c r="N59" s="75" t="str">
        <f t="shared" ref="N59" si="20">N56&amp;""</f>
        <v>4787</v>
      </c>
    </row>
    <row r="60" spans="1:14" ht="24.95" customHeight="1" x14ac:dyDescent="0.15">
      <c r="A60" s="128"/>
      <c r="B60" s="104" t="s">
        <v>42</v>
      </c>
      <c r="C60" s="143"/>
      <c r="D60" s="144"/>
      <c r="E60" s="143"/>
      <c r="F60" s="144"/>
      <c r="G60" s="62" t="s">
        <v>4</v>
      </c>
      <c r="H60" s="67"/>
      <c r="I60" s="67"/>
      <c r="J60" s="74" t="str">
        <f>IF(H60-I60=0,"",IF(OR((H60+N60-I60)&gt;3,(H60+N60-I60)&lt;-3),"超限",IF(AND((H60+N60-I60)&lt;=3,(H60+N60-I60)&gt;0),"+"&amp;(H60+N60-I60),(H60+N60-I60))))</f>
        <v/>
      </c>
      <c r="K60" s="76"/>
      <c r="L60" s="6"/>
      <c r="M60" s="10"/>
      <c r="N60" s="75" t="str">
        <f t="shared" ref="N60" si="21">N55&amp;""</f>
        <v>4687</v>
      </c>
    </row>
    <row r="61" spans="1:14" ht="24.95" customHeight="1" x14ac:dyDescent="0.15">
      <c r="A61" s="128"/>
      <c r="B61" s="104"/>
      <c r="C61" s="141">
        <f>(C59-C60)/10</f>
        <v>0</v>
      </c>
      <c r="D61" s="142"/>
      <c r="E61" s="141">
        <f>(E59-E60)/10</f>
        <v>0</v>
      </c>
      <c r="F61" s="142"/>
      <c r="G61" s="64" t="s">
        <v>34</v>
      </c>
      <c r="H61" s="68">
        <f>IF((H59-H60)/1000&gt;0,"+"&amp;(H59-H60)/1000,(H59-H60)/1000)</f>
        <v>0</v>
      </c>
      <c r="I61" s="68">
        <f>IF((I59-I60)/1000&gt;0,"+"&amp;(I59-I60)/1000,(I59-I60)/1000)</f>
        <v>0</v>
      </c>
      <c r="J61" s="77" t="str">
        <f>IF(H61-I61=0,"",IF((IF(ABS(J59-J60)&gt;5,"超限",J59-J60))&gt;0,"+"&amp;(J59-J60),(J59-J60)))&amp;""</f>
        <v/>
      </c>
      <c r="K61" s="78">
        <f>IF(H61-I61=0,0,IF(H61-I61&gt;0,(H61+I61+0.1)/2,(H61+I61-0.1)/2))</f>
        <v>0</v>
      </c>
      <c r="L61" s="6"/>
      <c r="M61" s="10"/>
      <c r="N61" s="11">
        <v>0</v>
      </c>
    </row>
    <row r="62" spans="1:14" ht="24.95" customHeight="1" x14ac:dyDescent="0.15">
      <c r="A62" s="129"/>
      <c r="B62" s="94"/>
      <c r="C62" s="132">
        <f>IF(C59=C60,0,IF(ABS((C61-E61))&gt;3,"超限",ROUND((C61-E61),1))&amp;"")</f>
        <v>0</v>
      </c>
      <c r="D62" s="133"/>
      <c r="E62" s="134" t="str">
        <f>IF(C62=0,"",IF((ABS(C62+E58))&gt;10,"超限",C62+E58))</f>
        <v/>
      </c>
      <c r="F62" s="135"/>
      <c r="G62" s="30"/>
      <c r="H62" s="103"/>
      <c r="I62" s="103"/>
      <c r="J62" s="65"/>
      <c r="K62" s="61"/>
      <c r="L62" s="6"/>
      <c r="M62" s="10"/>
      <c r="N62" s="11">
        <v>0</v>
      </c>
    </row>
    <row r="63" spans="1:14" ht="24.95" customHeight="1" x14ac:dyDescent="0.15">
      <c r="A63" s="124">
        <v>14</v>
      </c>
      <c r="B63" s="94"/>
      <c r="C63" s="143"/>
      <c r="D63" s="144"/>
      <c r="E63" s="143"/>
      <c r="F63" s="144"/>
      <c r="G63" s="62" t="s">
        <v>2</v>
      </c>
      <c r="H63" s="67"/>
      <c r="I63" s="67"/>
      <c r="J63" s="74" t="str">
        <f>IF(H63-I63=0,"",IF(OR((H63+N63-I63)&gt;3,(H63+N63-I63)&lt;-3),"超限",IF(AND((H63+N63-I63)&lt;=3,(H63+N63-I63)&gt;0),"+"&amp;(H63+N63-I63),(H63+N63-I63))))&amp;""</f>
        <v/>
      </c>
      <c r="K63" s="58"/>
      <c r="L63" s="6"/>
      <c r="M63" s="10"/>
      <c r="N63" s="75" t="str">
        <f t="shared" ref="N63" si="22">N60&amp;""</f>
        <v>4687</v>
      </c>
    </row>
    <row r="64" spans="1:14" ht="24.95" customHeight="1" x14ac:dyDescent="0.15">
      <c r="A64" s="128"/>
      <c r="B64" s="104" t="s">
        <v>42</v>
      </c>
      <c r="C64" s="143"/>
      <c r="D64" s="144"/>
      <c r="E64" s="143"/>
      <c r="F64" s="144"/>
      <c r="G64" s="62" t="s">
        <v>4</v>
      </c>
      <c r="H64" s="67"/>
      <c r="I64" s="67"/>
      <c r="J64" s="74" t="str">
        <f>IF(H64-I64=0,"",IF(OR((H64+N64-I64)&gt;3,(H64+N64-I64)&lt;-3),"超限",IF(AND((H64+N64-I64)&lt;=3,(H64+N64-I64)&gt;0),"+"&amp;(H64+N64-I64),(H64+N64-I64))))</f>
        <v/>
      </c>
      <c r="K64" s="76"/>
      <c r="L64" s="6"/>
      <c r="M64" s="10"/>
      <c r="N64" s="75" t="str">
        <f t="shared" ref="N64" si="23">N59&amp;""</f>
        <v>4787</v>
      </c>
    </row>
    <row r="65" spans="1:14" ht="24.95" customHeight="1" x14ac:dyDescent="0.15">
      <c r="A65" s="128"/>
      <c r="B65" s="104"/>
      <c r="C65" s="141">
        <f>(C63-C64)/10</f>
        <v>0</v>
      </c>
      <c r="D65" s="142"/>
      <c r="E65" s="141">
        <f>(E63-E64)/10</f>
        <v>0</v>
      </c>
      <c r="F65" s="142"/>
      <c r="G65" s="64" t="s">
        <v>34</v>
      </c>
      <c r="H65" s="68">
        <f>IF((H63-H64)/1000&gt;0,"+"&amp;(H63-H64)/1000,(H63-H64)/1000)</f>
        <v>0</v>
      </c>
      <c r="I65" s="68">
        <f>IF((I63-I64)/1000&gt;0,"+"&amp;(I63-I64)/1000,(I63-I64)/1000)</f>
        <v>0</v>
      </c>
      <c r="J65" s="77" t="str">
        <f>IF(H65-I65=0,"",IF((IF(ABS(J63-J64)&gt;5,"超限",J63-J64))&gt;0,"+"&amp;(J63-J64),(J63-J64)))&amp;""</f>
        <v/>
      </c>
      <c r="K65" s="78">
        <f>IF(H65-I65=0,0,IF(H65-I65&gt;0,(H65+I65+0.1)/2,(H65+I65-0.1)/2))</f>
        <v>0</v>
      </c>
      <c r="L65" s="6"/>
      <c r="M65" s="10"/>
      <c r="N65" s="11">
        <v>0</v>
      </c>
    </row>
    <row r="66" spans="1:14" ht="24.95" customHeight="1" x14ac:dyDescent="0.15">
      <c r="A66" s="129"/>
      <c r="B66" s="94"/>
      <c r="C66" s="132">
        <f>IF(C63=C64,0,IF(ABS((C65-E65))&gt;3,"超限",ROUND((C65-E65),1))&amp;"")</f>
        <v>0</v>
      </c>
      <c r="D66" s="133"/>
      <c r="E66" s="134" t="str">
        <f>IF(C66=0,"",IF((ABS(C66+E62))&gt;10,"超限",C66+E62))</f>
        <v/>
      </c>
      <c r="F66" s="135"/>
      <c r="G66" s="30"/>
      <c r="H66" s="103"/>
      <c r="I66" s="103"/>
      <c r="J66" s="65"/>
      <c r="K66" s="61"/>
      <c r="L66" s="6"/>
      <c r="M66" s="10"/>
      <c r="N66" s="11">
        <v>0</v>
      </c>
    </row>
    <row r="67" spans="1:14" ht="24.95" customHeight="1" x14ac:dyDescent="0.15">
      <c r="A67" s="124">
        <v>15</v>
      </c>
      <c r="B67" s="94"/>
      <c r="C67" s="143"/>
      <c r="D67" s="144"/>
      <c r="E67" s="143"/>
      <c r="F67" s="144"/>
      <c r="G67" s="62" t="s">
        <v>2</v>
      </c>
      <c r="H67" s="67"/>
      <c r="I67" s="67"/>
      <c r="J67" s="74" t="str">
        <f>IF(H67-I67=0,"",IF(OR((H67+N67-I67)&gt;3,(H67+N67-I67)&lt;-3),"超限",IF(AND((H67+N67-I67)&lt;=3,(H67+N67-I67)&gt;0),"+"&amp;(H67+N67-I67),(H67+N67-I67))))&amp;""</f>
        <v/>
      </c>
      <c r="K67" s="58"/>
      <c r="L67" s="6"/>
      <c r="M67" s="10"/>
      <c r="N67" s="75" t="str">
        <f t="shared" ref="N67" si="24">N64&amp;""</f>
        <v>4787</v>
      </c>
    </row>
    <row r="68" spans="1:14" ht="24.95" customHeight="1" x14ac:dyDescent="0.15">
      <c r="A68" s="128"/>
      <c r="B68" s="104" t="s">
        <v>42</v>
      </c>
      <c r="C68" s="143"/>
      <c r="D68" s="144"/>
      <c r="E68" s="143"/>
      <c r="F68" s="144"/>
      <c r="G68" s="62" t="s">
        <v>4</v>
      </c>
      <c r="H68" s="67"/>
      <c r="I68" s="67"/>
      <c r="J68" s="74" t="str">
        <f>IF(H68-I68=0,"",IF(OR((H68+N68-I68)&gt;3,(H68+N68-I68)&lt;-3),"超限",IF(AND((H68+N68-I68)&lt;=3,(H68+N68-I68)&gt;0),"+"&amp;(H68+N68-I68),(H68+N68-I68))))</f>
        <v/>
      </c>
      <c r="K68" s="76"/>
      <c r="L68" s="6"/>
      <c r="M68" s="10"/>
      <c r="N68" s="75" t="str">
        <f t="shared" ref="N68" si="25">N63&amp;""</f>
        <v>4687</v>
      </c>
    </row>
    <row r="69" spans="1:14" ht="24.95" customHeight="1" x14ac:dyDescent="0.15">
      <c r="A69" s="128"/>
      <c r="B69" s="104"/>
      <c r="C69" s="141">
        <f>(C67-C68)/10</f>
        <v>0</v>
      </c>
      <c r="D69" s="142"/>
      <c r="E69" s="141">
        <f>(E67-E68)/10</f>
        <v>0</v>
      </c>
      <c r="F69" s="142"/>
      <c r="G69" s="64" t="s">
        <v>34</v>
      </c>
      <c r="H69" s="68">
        <f>IF((H67-H68)/1000&gt;0,"+"&amp;(H67-H68)/1000,(H67-H68)/1000)</f>
        <v>0</v>
      </c>
      <c r="I69" s="68">
        <f>IF((I67-I68)/1000&gt;0,"+"&amp;(I67-I68)/1000,(I67-I68)/1000)</f>
        <v>0</v>
      </c>
      <c r="J69" s="77" t="str">
        <f>IF(H69-I69=0,"",IF((IF(ABS(J67-J68)&gt;5,"超限",J67-J68))&gt;0,"+"&amp;(J67-J68),(J67-J68)))&amp;""</f>
        <v/>
      </c>
      <c r="K69" s="78">
        <f>IF(H69-I69=0,0,IF(H69-I69&gt;0,(H69+I69+0.1)/2,(H69+I69-0.1)/2))</f>
        <v>0</v>
      </c>
      <c r="L69" s="6"/>
      <c r="M69" s="10"/>
      <c r="N69" s="11">
        <v>0</v>
      </c>
    </row>
    <row r="70" spans="1:14" ht="24.95" customHeight="1" x14ac:dyDescent="0.15">
      <c r="A70" s="129"/>
      <c r="B70" s="94"/>
      <c r="C70" s="132">
        <f>IF(C67=C68,0,IF(ABS((C69-E69))&gt;3,"超限",ROUND((C69-E69),1))&amp;"")</f>
        <v>0</v>
      </c>
      <c r="D70" s="133"/>
      <c r="E70" s="134" t="str">
        <f>IF(C70=0,"",IF((ABS(C70+E66))&gt;10,"超限",C70+E66))</f>
        <v/>
      </c>
      <c r="F70" s="135"/>
      <c r="G70" s="30"/>
      <c r="H70" s="103"/>
      <c r="I70" s="103"/>
      <c r="J70" s="65"/>
      <c r="K70" s="61"/>
      <c r="L70" s="6"/>
      <c r="M70" s="10"/>
      <c r="N70" s="11">
        <v>0</v>
      </c>
    </row>
    <row r="71" spans="1:14" ht="24.95" customHeight="1" x14ac:dyDescent="0.15">
      <c r="A71" s="124">
        <v>16</v>
      </c>
      <c r="B71" s="94"/>
      <c r="C71" s="143"/>
      <c r="D71" s="144"/>
      <c r="E71" s="143"/>
      <c r="F71" s="144"/>
      <c r="G71" s="62" t="s">
        <v>2</v>
      </c>
      <c r="H71" s="67"/>
      <c r="I71" s="67"/>
      <c r="J71" s="74" t="str">
        <f>IF(H71-I71=0,"",IF(OR((H71+N71-I71)&gt;3,(H71+N71-I71)&lt;-3),"超限",IF(AND((H71+N71-I71)&lt;=3,(H71+N71-I71)&gt;0),"+"&amp;(H71+N71-I71),(H71+N71-I71))))&amp;""</f>
        <v/>
      </c>
      <c r="K71" s="58"/>
      <c r="L71" s="6"/>
      <c r="M71" s="10"/>
      <c r="N71" s="75" t="str">
        <f t="shared" ref="N71" si="26">N68&amp;""</f>
        <v>4687</v>
      </c>
    </row>
    <row r="72" spans="1:14" ht="24.95" customHeight="1" x14ac:dyDescent="0.15">
      <c r="A72" s="128"/>
      <c r="B72" s="104" t="s">
        <v>42</v>
      </c>
      <c r="C72" s="143"/>
      <c r="D72" s="144"/>
      <c r="E72" s="143"/>
      <c r="F72" s="144"/>
      <c r="G72" s="62" t="s">
        <v>4</v>
      </c>
      <c r="H72" s="67"/>
      <c r="I72" s="67"/>
      <c r="J72" s="74" t="str">
        <f>IF(H72-I72=0,"",IF(OR((H72+N72-I72)&gt;3,(H72+N72-I72)&lt;-3),"超限",IF(AND((H72+N72-I72)&lt;=3,(H72+N72-I72)&gt;0),"+"&amp;(H72+N72-I72),(H72+N72-I72))))</f>
        <v/>
      </c>
      <c r="K72" s="76"/>
      <c r="L72" s="6"/>
      <c r="M72" s="10"/>
      <c r="N72" s="75" t="str">
        <f t="shared" ref="N72" si="27">N67&amp;""</f>
        <v>4787</v>
      </c>
    </row>
    <row r="73" spans="1:14" ht="24.95" customHeight="1" x14ac:dyDescent="0.15">
      <c r="A73" s="128"/>
      <c r="B73" s="104"/>
      <c r="C73" s="141">
        <f>(C71-C72)/10</f>
        <v>0</v>
      </c>
      <c r="D73" s="142"/>
      <c r="E73" s="141">
        <f>(E71-E72)/10</f>
        <v>0</v>
      </c>
      <c r="F73" s="142"/>
      <c r="G73" s="64" t="s">
        <v>34</v>
      </c>
      <c r="H73" s="68">
        <f>IF((H71-H72)/1000&gt;0,"+"&amp;(H71-H72)/1000,(H71-H72)/1000)</f>
        <v>0</v>
      </c>
      <c r="I73" s="68">
        <f>IF((I71-I72)/1000&gt;0,"+"&amp;(I71-I72)/1000,(I71-I72)/1000)</f>
        <v>0</v>
      </c>
      <c r="J73" s="77" t="str">
        <f>IF(H73-I73=0,"",IF((IF(ABS(J71-J72)&gt;5,"超限",J71-J72))&gt;0,"+"&amp;(J71-J72),(J71-J72)))&amp;""</f>
        <v/>
      </c>
      <c r="K73" s="83">
        <f t="shared" ref="K73" si="28">IF(H73-I73=0,0,IF(H73-I73&gt;0,(H73+I73+100)/2,(H73+I73-100)/2))</f>
        <v>0</v>
      </c>
      <c r="L73" s="6"/>
      <c r="M73" s="10"/>
      <c r="N73" s="11">
        <v>0</v>
      </c>
    </row>
    <row r="74" spans="1:14" ht="24.95" customHeight="1" x14ac:dyDescent="0.15">
      <c r="A74" s="129"/>
      <c r="B74" s="94"/>
      <c r="C74" s="132">
        <f>IF(C71=C72,0,IF(ABS((C73-E73))&gt;3,"超限",ROUND((C73-E73),1))&amp;"")</f>
        <v>0</v>
      </c>
      <c r="D74" s="133"/>
      <c r="E74" s="134" t="str">
        <f>IF(C74=0,"",IF((ABS(C74+E70))&gt;10,"超限",C74+E70))</f>
        <v/>
      </c>
      <c r="F74" s="135"/>
      <c r="G74" s="30"/>
      <c r="H74" s="103"/>
      <c r="I74" s="103"/>
      <c r="J74" s="65"/>
      <c r="K74" s="61"/>
      <c r="L74" s="6"/>
      <c r="M74" s="10"/>
      <c r="N74" s="11">
        <v>0</v>
      </c>
    </row>
    <row r="75" spans="1:14" ht="24.95" customHeight="1" x14ac:dyDescent="0.15">
      <c r="A75" s="124">
        <v>17</v>
      </c>
      <c r="B75" s="94"/>
      <c r="C75" s="143"/>
      <c r="D75" s="144"/>
      <c r="E75" s="143"/>
      <c r="F75" s="144"/>
      <c r="G75" s="62" t="s">
        <v>2</v>
      </c>
      <c r="H75" s="67"/>
      <c r="I75" s="67"/>
      <c r="J75" s="74" t="str">
        <f>IF(H75-I75=0,"",IF(OR((H75+N75-I75)&gt;3,(H75+N75-I75)&lt;-3),"超限",IF(AND((H75+N75-I75)&lt;=3,(H75+N75-I75)&gt;0),"+"&amp;(H75+N75-I75),(H75+N75-I75))))&amp;""</f>
        <v/>
      </c>
      <c r="K75" s="58"/>
      <c r="L75" s="6"/>
      <c r="M75" s="10"/>
      <c r="N75" s="75" t="str">
        <f t="shared" ref="N75" si="29">IF(M71=4687,4687,4787)&amp;""</f>
        <v>4787</v>
      </c>
    </row>
    <row r="76" spans="1:14" ht="24.95" customHeight="1" x14ac:dyDescent="0.15">
      <c r="A76" s="128"/>
      <c r="B76" s="104" t="s">
        <v>42</v>
      </c>
      <c r="C76" s="143"/>
      <c r="D76" s="144"/>
      <c r="E76" s="143"/>
      <c r="F76" s="144"/>
      <c r="G76" s="62" t="s">
        <v>4</v>
      </c>
      <c r="H76" s="67"/>
      <c r="I76" s="67"/>
      <c r="J76" s="74" t="str">
        <f>IF(H76-I76=0,"",IF(OR((H76+N76-I76)&gt;3,(H76+N76-I76)&lt;-3),"超限",IF(AND((H76+N76-I76)&lt;=3,(H76+N76-I76)&gt;0),"+"&amp;(H76+N76-I76),(H76+N76-I76))))</f>
        <v/>
      </c>
      <c r="K76" s="76"/>
      <c r="L76" s="6"/>
      <c r="M76" s="10"/>
      <c r="N76" s="75" t="str">
        <f t="shared" ref="N76" si="30">IF(M71=4687,4787,4687)&amp;""</f>
        <v>4687</v>
      </c>
    </row>
    <row r="77" spans="1:14" ht="24.95" customHeight="1" x14ac:dyDescent="0.15">
      <c r="A77" s="128"/>
      <c r="B77" s="104"/>
      <c r="C77" s="141">
        <f>(C75-C76)/10</f>
        <v>0</v>
      </c>
      <c r="D77" s="142"/>
      <c r="E77" s="141">
        <f>(E75-E76)/10</f>
        <v>0</v>
      </c>
      <c r="F77" s="142"/>
      <c r="G77" s="64" t="s">
        <v>34</v>
      </c>
      <c r="H77" s="68">
        <f>IF((H75-H76)/1000&gt;0,"+"&amp;(H75-H76)/1000,(H75-H76)/1000)</f>
        <v>0</v>
      </c>
      <c r="I77" s="68">
        <f>IF((I75-I76)/1000&gt;0,"+"&amp;(I75-I76)/1000,(I75-I76)/1000)</f>
        <v>0</v>
      </c>
      <c r="J77" s="77" t="str">
        <f>IF(H77-I77=0,"",IF((IF(ABS(J75-J76)&gt;5,"超限",J75-J76))&gt;0,"+"&amp;(J75-J76),(J75-J76)))&amp;""</f>
        <v/>
      </c>
      <c r="K77" s="83">
        <f t="shared" ref="K77" si="31">IF(H77-I77=0,0,IF(H77-I77&gt;0,(H77+I77+100)/2,(H77+I77-100)/2))</f>
        <v>0</v>
      </c>
      <c r="L77" s="6"/>
      <c r="M77" s="10"/>
      <c r="N77" s="11">
        <v>0</v>
      </c>
    </row>
    <row r="78" spans="1:14" ht="24.95" customHeight="1" x14ac:dyDescent="0.15">
      <c r="A78" s="129"/>
      <c r="B78" s="94"/>
      <c r="C78" s="132">
        <f>IF(C75=C76,0,IF(ABS((C77-E77))&gt;3,"超限",ROUND((C77-E77),1))&amp;"")</f>
        <v>0</v>
      </c>
      <c r="D78" s="133"/>
      <c r="E78" s="134" t="str">
        <f>IF(C78=0,"",IF((ABS(C78+E74))&gt;10,"超限",C78+E74))</f>
        <v/>
      </c>
      <c r="F78" s="135"/>
      <c r="G78" s="30"/>
      <c r="H78" s="103"/>
      <c r="I78" s="103"/>
      <c r="J78" s="65"/>
      <c r="K78" s="61"/>
      <c r="L78" s="6"/>
      <c r="M78" s="10"/>
      <c r="N78" s="11">
        <v>0</v>
      </c>
    </row>
    <row r="79" spans="1:14" ht="24.95" customHeight="1" x14ac:dyDescent="0.15">
      <c r="A79" s="124">
        <v>18</v>
      </c>
      <c r="B79" s="94"/>
      <c r="C79" s="143"/>
      <c r="D79" s="144"/>
      <c r="E79" s="143"/>
      <c r="F79" s="144"/>
      <c r="G79" s="62" t="s">
        <v>2</v>
      </c>
      <c r="H79" s="67"/>
      <c r="I79" s="67"/>
      <c r="J79" s="74" t="str">
        <f>IF(H79-I79=0,"",IF(OR((H79+N79-I79)&gt;3,(H79+N79-I79)&lt;-3),"超限",IF(AND((H79+N79-I79)&lt;=3,(H79+N79-I79)&gt;0),"+"&amp;(H79+N79-I79),(H79+N79-I79))))&amp;""</f>
        <v/>
      </c>
      <c r="K79" s="58"/>
      <c r="L79" s="6"/>
      <c r="M79" s="10"/>
      <c r="N79" s="75" t="str">
        <f t="shared" ref="N79" si="32">N76&amp;""</f>
        <v>4687</v>
      </c>
    </row>
    <row r="80" spans="1:14" ht="24.95" customHeight="1" x14ac:dyDescent="0.15">
      <c r="A80" s="128"/>
      <c r="B80" s="104" t="s">
        <v>42</v>
      </c>
      <c r="C80" s="143"/>
      <c r="D80" s="144"/>
      <c r="E80" s="143"/>
      <c r="F80" s="144"/>
      <c r="G80" s="62" t="s">
        <v>4</v>
      </c>
      <c r="H80" s="67"/>
      <c r="I80" s="67"/>
      <c r="J80" s="74" t="str">
        <f>IF(H80-I80=0,"",IF(OR((H80+N80-I80)&gt;3,(H80+N80-I80)&lt;-3),"超限",IF(AND((H80+N80-I80)&lt;=3,(H80+N80-I80)&gt;0),"+"&amp;(H80+N80-I80),(H80+N80-I80))))</f>
        <v/>
      </c>
      <c r="K80" s="76"/>
      <c r="L80" s="6"/>
      <c r="M80" s="10"/>
      <c r="N80" s="75" t="str">
        <f t="shared" ref="N80" si="33">N75&amp;""</f>
        <v>4787</v>
      </c>
    </row>
    <row r="81" spans="1:14" ht="24.95" customHeight="1" x14ac:dyDescent="0.15">
      <c r="A81" s="128"/>
      <c r="B81" s="104"/>
      <c r="C81" s="141">
        <f>(C79-C80)/10</f>
        <v>0</v>
      </c>
      <c r="D81" s="142"/>
      <c r="E81" s="141">
        <f>(E79-E80)/10</f>
        <v>0</v>
      </c>
      <c r="F81" s="142"/>
      <c r="G81" s="64" t="s">
        <v>34</v>
      </c>
      <c r="H81" s="68">
        <f>IF((H79-H80)/1000&gt;0,"+"&amp;(H79-H80)/1000,(H79-H80)/1000)</f>
        <v>0</v>
      </c>
      <c r="I81" s="68">
        <f>IF((I79-I80)/1000&gt;0,"+"&amp;(I79-I80)/1000,(I79-I80)/1000)</f>
        <v>0</v>
      </c>
      <c r="J81" s="77" t="str">
        <f>IF(H81-I81=0,"",IF((IF(ABS(J79-J80)&gt;5,"超限",J79-J80))&gt;0,"+"&amp;(J79-J80),(J79-J80)))&amp;""</f>
        <v/>
      </c>
      <c r="K81" s="83">
        <f t="shared" ref="K81" si="34">IF(H81-I81=0,0,IF(H81-I81&gt;0,(H81+I81+100)/2,(H81+I81-100)/2))</f>
        <v>0</v>
      </c>
      <c r="L81" s="6"/>
      <c r="M81" s="10"/>
      <c r="N81" s="11">
        <v>0</v>
      </c>
    </row>
    <row r="82" spans="1:14" ht="24.95" customHeight="1" x14ac:dyDescent="0.15">
      <c r="A82" s="129"/>
      <c r="B82" s="94"/>
      <c r="C82" s="132">
        <f>IF(C79=C80,0,IF(ABS((C81-E81))&gt;3,"超限",ROUND((C81-E81),1))&amp;"")</f>
        <v>0</v>
      </c>
      <c r="D82" s="133"/>
      <c r="E82" s="134" t="str">
        <f>IF(C82=0,"",IF((ABS(C82+E78))&gt;10,"超限",C82+E78))</f>
        <v/>
      </c>
      <c r="F82" s="135"/>
      <c r="G82" s="30"/>
      <c r="H82" s="103"/>
      <c r="I82" s="103"/>
      <c r="J82" s="65"/>
      <c r="K82" s="61"/>
      <c r="L82" s="6"/>
      <c r="M82" s="10"/>
      <c r="N82" s="11">
        <v>0</v>
      </c>
    </row>
    <row r="83" spans="1:14" ht="24.95" customHeight="1" x14ac:dyDescent="0.15">
      <c r="A83" s="124">
        <v>19</v>
      </c>
      <c r="B83" s="94"/>
      <c r="C83" s="143"/>
      <c r="D83" s="144"/>
      <c r="E83" s="143"/>
      <c r="F83" s="144"/>
      <c r="G83" s="62" t="s">
        <v>2</v>
      </c>
      <c r="H83" s="67"/>
      <c r="I83" s="67"/>
      <c r="J83" s="74" t="str">
        <f>IF(H83-I83=0,"",IF(OR((H83+N83-I83)&gt;3,(H83+N83-I83)&lt;-3),"超限",IF(AND((H83+N83-I83)&lt;=3,(H83+N83-I83)&gt;0),"+"&amp;(H83+N83-I83),(H83+N83-I83))))&amp;""</f>
        <v/>
      </c>
      <c r="K83" s="58"/>
      <c r="L83" s="6"/>
      <c r="M83" s="10"/>
      <c r="N83" s="75" t="str">
        <f t="shared" ref="N83" si="35">IF(M79=4687,4687,4787)&amp;""</f>
        <v>4787</v>
      </c>
    </row>
    <row r="84" spans="1:14" ht="24.95" customHeight="1" x14ac:dyDescent="0.15">
      <c r="A84" s="128"/>
      <c r="B84" s="104" t="s">
        <v>42</v>
      </c>
      <c r="C84" s="143"/>
      <c r="D84" s="144"/>
      <c r="E84" s="143"/>
      <c r="F84" s="144"/>
      <c r="G84" s="62" t="s">
        <v>4</v>
      </c>
      <c r="H84" s="67"/>
      <c r="I84" s="67"/>
      <c r="J84" s="74" t="str">
        <f>IF(H84-I84=0,"",IF(OR((H84+N84-I84)&gt;3,(H84+N84-I84)&lt;-3),"超限",IF(AND((H84+N84-I84)&lt;=3,(H84+N84-I84)&gt;0),"+"&amp;(H84+N84-I84),(H84+N84-I84))))</f>
        <v/>
      </c>
      <c r="K84" s="76"/>
      <c r="L84" s="6"/>
      <c r="M84" s="10"/>
      <c r="N84" s="75" t="str">
        <f t="shared" ref="N84" si="36">IF(M79=4687,4787,4687)&amp;""</f>
        <v>4687</v>
      </c>
    </row>
    <row r="85" spans="1:14" ht="24.95" customHeight="1" x14ac:dyDescent="0.15">
      <c r="A85" s="128"/>
      <c r="B85" s="104"/>
      <c r="C85" s="141">
        <f>(C83-C84)/10</f>
        <v>0</v>
      </c>
      <c r="D85" s="142"/>
      <c r="E85" s="141">
        <f>(E83-E84)/10</f>
        <v>0</v>
      </c>
      <c r="F85" s="142"/>
      <c r="G85" s="64" t="s">
        <v>34</v>
      </c>
      <c r="H85" s="68">
        <f>IF((H83-H84)/1000&gt;0,"+"&amp;(H83-H84)/1000,(H83-H84)/1000)</f>
        <v>0</v>
      </c>
      <c r="I85" s="68">
        <f>IF((I83-I84)/1000&gt;0,"+"&amp;(I83-I84)/1000,(I83-I84)/1000)</f>
        <v>0</v>
      </c>
      <c r="J85" s="77" t="str">
        <f>IF(H85-I85=0,"",IF((IF(ABS(J83-J84)&gt;5,"超限",J83-J84))&gt;0,"+"&amp;(J83-J84),(J83-J84)))&amp;""</f>
        <v/>
      </c>
      <c r="K85" s="83">
        <f t="shared" ref="K85" si="37">IF(H85-I85=0,0,IF(H85-I85&gt;0,(H85+I85+100)/2,(H85+I85-100)/2))</f>
        <v>0</v>
      </c>
      <c r="L85" s="6"/>
      <c r="M85" s="10"/>
      <c r="N85" s="11">
        <v>0</v>
      </c>
    </row>
    <row r="86" spans="1:14" ht="24.95" customHeight="1" x14ac:dyDescent="0.15">
      <c r="A86" s="129"/>
      <c r="B86" s="94"/>
      <c r="C86" s="132">
        <f>IF(C83=C84,0,IF(ABS((C85-E85))&gt;3,"超限",ROUND((C85-E85),1))&amp;"")</f>
        <v>0</v>
      </c>
      <c r="D86" s="133"/>
      <c r="E86" s="134" t="str">
        <f>IF(C86=0,"",IF((ABS(C86+E82))&gt;10,"超限",C86+E82))</f>
        <v/>
      </c>
      <c r="F86" s="135"/>
      <c r="G86" s="30"/>
      <c r="H86" s="103"/>
      <c r="I86" s="103"/>
      <c r="J86" s="65"/>
      <c r="K86" s="61"/>
      <c r="L86" s="6"/>
      <c r="M86" s="10"/>
      <c r="N86" s="11">
        <v>0</v>
      </c>
    </row>
    <row r="87" spans="1:14" ht="24.95" customHeight="1" x14ac:dyDescent="0.15">
      <c r="A87" s="124">
        <v>20</v>
      </c>
      <c r="B87" s="94"/>
      <c r="C87" s="143"/>
      <c r="D87" s="144"/>
      <c r="E87" s="143"/>
      <c r="F87" s="144"/>
      <c r="G87" s="62" t="s">
        <v>2</v>
      </c>
      <c r="H87" s="67"/>
      <c r="I87" s="67"/>
      <c r="J87" s="74" t="str">
        <f>IF(H87-I87=0,"",IF(OR((H87+N87-I87)&gt;3,(H87+N87-I87)&lt;-3),"超限",IF(AND((H87+N87-I87)&lt;=3,(H87+N87-I87)&gt;0),"+"&amp;(H87+N87-I87),(H87+N87-I87))))&amp;""</f>
        <v/>
      </c>
      <c r="K87" s="58"/>
      <c r="L87" s="6"/>
      <c r="M87" s="10"/>
      <c r="N87" s="75" t="str">
        <f t="shared" ref="N87" si="38">N84&amp;""</f>
        <v>4687</v>
      </c>
    </row>
    <row r="88" spans="1:14" ht="24.95" customHeight="1" x14ac:dyDescent="0.15">
      <c r="A88" s="128"/>
      <c r="B88" s="104" t="s">
        <v>42</v>
      </c>
      <c r="C88" s="143"/>
      <c r="D88" s="144"/>
      <c r="E88" s="143"/>
      <c r="F88" s="144"/>
      <c r="G88" s="62" t="s">
        <v>4</v>
      </c>
      <c r="H88" s="67"/>
      <c r="I88" s="67"/>
      <c r="J88" s="74" t="str">
        <f>IF(H88-I88=0,"",IF(OR((H88+N88-I88)&gt;3,(H88+N88-I88)&lt;-3),"超限",IF(AND((H88+N88-I88)&lt;=3,(H88+N88-I88)&gt;0),"+"&amp;(H88+N88-I88),(H88+N88-I88))))</f>
        <v/>
      </c>
      <c r="K88" s="76"/>
      <c r="L88" s="6"/>
      <c r="M88" s="10"/>
      <c r="N88" s="75" t="str">
        <f t="shared" ref="N88" si="39">N83&amp;""</f>
        <v>4787</v>
      </c>
    </row>
    <row r="89" spans="1:14" ht="24.95" customHeight="1" x14ac:dyDescent="0.15">
      <c r="A89" s="128"/>
      <c r="B89" s="104"/>
      <c r="C89" s="141">
        <f>(C87-C88)/10</f>
        <v>0</v>
      </c>
      <c r="D89" s="142"/>
      <c r="E89" s="141">
        <f>(E87-E88)/10</f>
        <v>0</v>
      </c>
      <c r="F89" s="142"/>
      <c r="G89" s="64" t="s">
        <v>34</v>
      </c>
      <c r="H89" s="68">
        <f>IF((H87-H88)/1000&gt;0,"+"&amp;(H87-H88)/1000,(H87-H88)/1000)</f>
        <v>0</v>
      </c>
      <c r="I89" s="68">
        <f>IF((I87-I88)/1000&gt;0,"+"&amp;(I87-I88)/1000,(I87-I88)/1000)</f>
        <v>0</v>
      </c>
      <c r="J89" s="77" t="str">
        <f>IF(H89-I89=0,"",IF((IF(ABS(J87-J88)&gt;5,"超限",J87-J88))&gt;0,"+"&amp;(J87-J88),(J87-J88)))&amp;""</f>
        <v/>
      </c>
      <c r="K89" s="83">
        <f t="shared" ref="K89" si="40">IF(H89-I89=0,0,IF(H89-I89&gt;0,(H89+I89+100)/2,(H89+I89-100)/2))</f>
        <v>0</v>
      </c>
      <c r="L89" s="6"/>
      <c r="M89" s="10"/>
      <c r="N89" s="11">
        <v>0</v>
      </c>
    </row>
    <row r="90" spans="1:14" ht="24.95" customHeight="1" x14ac:dyDescent="0.15">
      <c r="A90" s="129"/>
      <c r="B90" s="94"/>
      <c r="C90" s="132">
        <f>IF(C87=C88,0,IF(ABS((C89-E89))&gt;3,"超限",ROUND((C89-E89),1))&amp;"")</f>
        <v>0</v>
      </c>
      <c r="D90" s="133"/>
      <c r="E90" s="134" t="str">
        <f>IF(C90=0,"",IF((ABS(C90+E86))&gt;10,"超限",C90+E86))</f>
        <v/>
      </c>
      <c r="F90" s="135"/>
      <c r="G90" s="30"/>
      <c r="H90" s="103"/>
      <c r="I90" s="103"/>
      <c r="J90" s="65"/>
      <c r="K90" s="61"/>
      <c r="L90" s="6"/>
      <c r="M90" s="10"/>
      <c r="N90" s="11">
        <v>0</v>
      </c>
    </row>
    <row r="91" spans="1:14" ht="24.95" customHeight="1" x14ac:dyDescent="0.15">
      <c r="A91" s="124">
        <v>21</v>
      </c>
      <c r="B91" s="94"/>
      <c r="C91" s="143"/>
      <c r="D91" s="144"/>
      <c r="E91" s="143"/>
      <c r="F91" s="144"/>
      <c r="G91" s="62" t="s">
        <v>2</v>
      </c>
      <c r="H91" s="67"/>
      <c r="I91" s="67"/>
      <c r="J91" s="74" t="str">
        <f>IF(H91-I91=0,"",IF(OR((H91+N91-I91)&gt;3,(H91+N91-I91)&lt;-3),"超限",IF(AND((H91+N91-I91)&lt;=3,(H91+N91-I91)&gt;0),"+"&amp;(H91+N91-I91),(H91+N91-I91))))&amp;""</f>
        <v/>
      </c>
      <c r="K91" s="58"/>
      <c r="L91" s="6"/>
      <c r="M91" s="10"/>
      <c r="N91" s="75" t="str">
        <f t="shared" ref="N91" si="41">IF(M87=4687,4687,4787)&amp;""</f>
        <v>4787</v>
      </c>
    </row>
    <row r="92" spans="1:14" ht="24.95" customHeight="1" x14ac:dyDescent="0.15">
      <c r="A92" s="128"/>
      <c r="B92" s="104" t="s">
        <v>42</v>
      </c>
      <c r="C92" s="143"/>
      <c r="D92" s="144"/>
      <c r="E92" s="143"/>
      <c r="F92" s="144"/>
      <c r="G92" s="62" t="s">
        <v>4</v>
      </c>
      <c r="H92" s="67"/>
      <c r="I92" s="67"/>
      <c r="J92" s="74" t="str">
        <f>IF(H92-I92=0,"",IF(OR((H92+N92-I92)&gt;3,(H92+N92-I92)&lt;-3),"超限",IF(AND((H92+N92-I92)&lt;=3,(H92+N92-I92)&gt;0),"+"&amp;(H92+N92-I92),(H92+N92-I92))))</f>
        <v/>
      </c>
      <c r="K92" s="76"/>
      <c r="L92" s="6"/>
      <c r="M92" s="10"/>
      <c r="N92" s="75" t="str">
        <f t="shared" ref="N92" si="42">IF(M87=4687,4787,4687)&amp;""</f>
        <v>4687</v>
      </c>
    </row>
    <row r="93" spans="1:14" ht="24.95" customHeight="1" x14ac:dyDescent="0.15">
      <c r="A93" s="128"/>
      <c r="B93" s="104"/>
      <c r="C93" s="141">
        <f>(C91-C92)/10</f>
        <v>0</v>
      </c>
      <c r="D93" s="142"/>
      <c r="E93" s="141">
        <f>(E91-E92)/10</f>
        <v>0</v>
      </c>
      <c r="F93" s="142"/>
      <c r="G93" s="64" t="s">
        <v>34</v>
      </c>
      <c r="H93" s="68">
        <f>IF((H91-H92)/1000&gt;0,"+"&amp;(H91-H92)/1000,(H91-H92)/1000)</f>
        <v>0</v>
      </c>
      <c r="I93" s="68">
        <f>IF((I91-I92)/1000&gt;0,"+"&amp;(I91-I92)/1000,(I91-I92)/1000)</f>
        <v>0</v>
      </c>
      <c r="J93" s="77" t="str">
        <f>IF(H93-I93=0,"",IF((IF(ABS(J91-J92)&gt;5,"超限",J91-J92))&gt;0,"+"&amp;(J91-J92),(J91-J92)))&amp;""</f>
        <v/>
      </c>
      <c r="K93" s="83">
        <f t="shared" ref="K93" si="43">IF(H93-I93=0,0,IF(H93-I93&gt;0,(H93+I93+100)/2,(H93+I93-100)/2))</f>
        <v>0</v>
      </c>
      <c r="L93" s="6"/>
      <c r="M93" s="10"/>
      <c r="N93" s="11">
        <v>0</v>
      </c>
    </row>
    <row r="94" spans="1:14" ht="24.95" customHeight="1" x14ac:dyDescent="0.15">
      <c r="A94" s="129"/>
      <c r="B94" s="94"/>
      <c r="C94" s="132">
        <f>IF(C91=C92,0,IF(ABS((C93-E93))&gt;3,"超限",ROUND((C93-E93),1))&amp;"")</f>
        <v>0</v>
      </c>
      <c r="D94" s="133"/>
      <c r="E94" s="134" t="str">
        <f>IF(C94=0,"",IF((ABS(C94+E90))&gt;10,"超限",C94+E90))</f>
        <v/>
      </c>
      <c r="F94" s="135"/>
      <c r="G94" s="30"/>
      <c r="H94" s="103"/>
      <c r="I94" s="103"/>
      <c r="J94" s="65"/>
      <c r="K94" s="61"/>
      <c r="L94" s="6"/>
      <c r="M94" s="10"/>
      <c r="N94" s="11">
        <v>0</v>
      </c>
    </row>
    <row r="95" spans="1:14" ht="24.95" customHeight="1" x14ac:dyDescent="0.15">
      <c r="A95" s="124">
        <v>22</v>
      </c>
      <c r="B95" s="94"/>
      <c r="C95" s="143"/>
      <c r="D95" s="144"/>
      <c r="E95" s="143"/>
      <c r="F95" s="144"/>
      <c r="G95" s="62" t="s">
        <v>2</v>
      </c>
      <c r="H95" s="67"/>
      <c r="I95" s="67"/>
      <c r="J95" s="74" t="str">
        <f>IF(H95-I95=0,"",IF(OR((H95+N95-I95)&gt;3,(H95+N95-I95)&lt;-3),"超限",IF(AND((H95+N95-I95)&lt;=3,(H95+N95-I95)&gt;0),"+"&amp;(H95+N95-I95),(H95+N95-I95))))&amp;""</f>
        <v/>
      </c>
      <c r="K95" s="58"/>
      <c r="L95" s="6"/>
      <c r="M95" s="10"/>
      <c r="N95" s="75" t="str">
        <f t="shared" ref="N95" si="44">N92&amp;""</f>
        <v>4687</v>
      </c>
    </row>
    <row r="96" spans="1:14" ht="24.95" customHeight="1" x14ac:dyDescent="0.15">
      <c r="A96" s="128"/>
      <c r="B96" s="104" t="s">
        <v>42</v>
      </c>
      <c r="C96" s="143"/>
      <c r="D96" s="144"/>
      <c r="E96" s="143"/>
      <c r="F96" s="144"/>
      <c r="G96" s="62" t="s">
        <v>4</v>
      </c>
      <c r="H96" s="67"/>
      <c r="I96" s="67"/>
      <c r="J96" s="74" t="str">
        <f>IF(H96-I96=0,"",IF(OR((H96+N96-I96)&gt;3,(H96+N96-I96)&lt;-3),"超限",IF(AND((H96+N96-I96)&lt;=3,(H96+N96-I96)&gt;0),"+"&amp;(H96+N96-I96),(H96+N96-I96))))</f>
        <v/>
      </c>
      <c r="K96" s="76"/>
      <c r="L96" s="6"/>
      <c r="M96" s="10"/>
      <c r="N96" s="75" t="str">
        <f t="shared" ref="N96" si="45">N91&amp;""</f>
        <v>4787</v>
      </c>
    </row>
    <row r="97" spans="1:14" ht="24.95" customHeight="1" x14ac:dyDescent="0.15">
      <c r="A97" s="128"/>
      <c r="B97" s="104"/>
      <c r="C97" s="141">
        <f>(C95-C96)/10</f>
        <v>0</v>
      </c>
      <c r="D97" s="142"/>
      <c r="E97" s="141">
        <f>(E95-E96)/10</f>
        <v>0</v>
      </c>
      <c r="F97" s="142"/>
      <c r="G97" s="64" t="s">
        <v>34</v>
      </c>
      <c r="H97" s="68">
        <f>IF((H95-H96)/1000&gt;0,"+"&amp;(H95-H96)/1000,(H95-H96)/1000)</f>
        <v>0</v>
      </c>
      <c r="I97" s="68">
        <f>IF((I95-I96)/1000&gt;0,"+"&amp;(I95-I96)/1000,(I95-I96)/1000)</f>
        <v>0</v>
      </c>
      <c r="J97" s="77" t="str">
        <f>IF(H97-I97=0,"",IF((IF(ABS(J95-J96)&gt;5,"超限",J95-J96))&gt;0,"+"&amp;(J95-J96),(J95-J96)))&amp;""</f>
        <v/>
      </c>
      <c r="K97" s="83">
        <f t="shared" ref="K97" si="46">IF(H97-I97=0,0,IF(H97-I97&gt;0,(H97+I97+100)/2,(H97+I97-100)/2))</f>
        <v>0</v>
      </c>
      <c r="L97" s="6"/>
      <c r="M97" s="10"/>
      <c r="N97" s="11">
        <v>0</v>
      </c>
    </row>
    <row r="98" spans="1:14" ht="24.95" customHeight="1" x14ac:dyDescent="0.15">
      <c r="A98" s="129"/>
      <c r="B98" s="94"/>
      <c r="C98" s="132">
        <f>IF(C95=C96,0,IF(ABS((C97-E97))&gt;3,"超限",ROUND((C97-E97),1))&amp;"")</f>
        <v>0</v>
      </c>
      <c r="D98" s="133"/>
      <c r="E98" s="134" t="str">
        <f>IF(C98=0,"",IF((ABS(C98+E94))&gt;10,"超限",C98+E94))</f>
        <v/>
      </c>
      <c r="F98" s="135"/>
      <c r="G98" s="30"/>
      <c r="H98" s="103"/>
      <c r="I98" s="103"/>
      <c r="J98" s="65"/>
      <c r="K98" s="61"/>
      <c r="L98" s="6"/>
      <c r="M98" s="10"/>
      <c r="N98" s="11">
        <v>0</v>
      </c>
    </row>
    <row r="99" spans="1:14" ht="24.95" customHeight="1" x14ac:dyDescent="0.15">
      <c r="A99" s="124">
        <v>23</v>
      </c>
      <c r="B99" s="94"/>
      <c r="C99" s="143"/>
      <c r="D99" s="144"/>
      <c r="E99" s="143"/>
      <c r="F99" s="144"/>
      <c r="G99" s="62" t="s">
        <v>2</v>
      </c>
      <c r="H99" s="67"/>
      <c r="I99" s="67"/>
      <c r="J99" s="74" t="str">
        <f>IF(H99-I99=0,"",IF(OR((H99+N99-I99)&gt;3,(H99+N99-I99)&lt;-3),"超限",IF(AND((H99+N99-I99)&lt;=3,(H99+N99-I99)&gt;0),"+"&amp;(H99+N99-I99),(H99+N99-I99))))&amp;""</f>
        <v/>
      </c>
      <c r="K99" s="58"/>
      <c r="L99" s="6"/>
      <c r="M99" s="10"/>
      <c r="N99" s="75" t="str">
        <f t="shared" ref="N99" si="47">IF(M95=4687,4687,4787)&amp;""</f>
        <v>4787</v>
      </c>
    </row>
    <row r="100" spans="1:14" ht="24.95" customHeight="1" x14ac:dyDescent="0.15">
      <c r="A100" s="128"/>
      <c r="B100" s="104" t="s">
        <v>42</v>
      </c>
      <c r="C100" s="143"/>
      <c r="D100" s="144"/>
      <c r="E100" s="143"/>
      <c r="F100" s="144"/>
      <c r="G100" s="62" t="s">
        <v>4</v>
      </c>
      <c r="H100" s="67"/>
      <c r="I100" s="67"/>
      <c r="J100" s="74" t="str">
        <f>IF(H100-I100=0,"",IF(OR((H100+N100-I100)&gt;3,(H100+N100-I100)&lt;-3),"超限",IF(AND((H100+N100-I100)&lt;=3,(H100+N100-I100)&gt;0),"+"&amp;(H100+N100-I100),(H100+N100-I100))))</f>
        <v/>
      </c>
      <c r="K100" s="76"/>
      <c r="L100" s="6"/>
      <c r="M100" s="10"/>
      <c r="N100" s="75" t="str">
        <f t="shared" ref="N100" si="48">IF(M95=4687,4787,4687)&amp;""</f>
        <v>4687</v>
      </c>
    </row>
    <row r="101" spans="1:14" ht="24.95" customHeight="1" x14ac:dyDescent="0.15">
      <c r="A101" s="128"/>
      <c r="B101" s="104"/>
      <c r="C101" s="141">
        <f>(C99-C100)/10</f>
        <v>0</v>
      </c>
      <c r="D101" s="142"/>
      <c r="E101" s="141">
        <f>(E99-E100)/10</f>
        <v>0</v>
      </c>
      <c r="F101" s="142"/>
      <c r="G101" s="64" t="s">
        <v>34</v>
      </c>
      <c r="H101" s="68">
        <f>IF((H99-H100)/1000&gt;0,"+"&amp;(H99-H100)/1000,(H99-H100)/1000)</f>
        <v>0</v>
      </c>
      <c r="I101" s="68">
        <f>IF((I99-I100)/1000&gt;0,"+"&amp;(I99-I100)/1000,(I99-I100)/1000)</f>
        <v>0</v>
      </c>
      <c r="J101" s="77" t="str">
        <f>IF(H101-I101=0,"",IF((IF(ABS(J99-J100)&gt;5,"超限",J99-J100))&gt;0,"+"&amp;(J99-J100),(J99-J100)))&amp;""</f>
        <v/>
      </c>
      <c r="K101" s="83">
        <f t="shared" ref="K101" si="49">IF(H101-I101=0,0,IF(H101-I101&gt;0,(H101+I101+100)/2,(H101+I101-100)/2))</f>
        <v>0</v>
      </c>
      <c r="L101" s="6"/>
      <c r="M101" s="10"/>
      <c r="N101" s="11">
        <v>0</v>
      </c>
    </row>
    <row r="102" spans="1:14" ht="24.95" customHeight="1" x14ac:dyDescent="0.15">
      <c r="A102" s="129"/>
      <c r="B102" s="94"/>
      <c r="C102" s="132">
        <f>IF(C99=C100,0,IF(ABS((C101-E101))&gt;3,"超限",ROUND((C101-E101),1))&amp;"")</f>
        <v>0</v>
      </c>
      <c r="D102" s="133"/>
      <c r="E102" s="134" t="str">
        <f>IF(C102=0,"",IF((ABS(C102+E98))&gt;10,"超限",C102+E98))</f>
        <v/>
      </c>
      <c r="F102" s="135"/>
      <c r="G102" s="30"/>
      <c r="H102" s="103"/>
      <c r="I102" s="103"/>
      <c r="J102" s="65"/>
      <c r="K102" s="61"/>
      <c r="L102" s="6"/>
      <c r="M102" s="10"/>
      <c r="N102" s="11">
        <v>0</v>
      </c>
    </row>
    <row r="103" spans="1:14" ht="24.95" customHeight="1" x14ac:dyDescent="0.15">
      <c r="A103" s="124">
        <v>24</v>
      </c>
      <c r="B103" s="94"/>
      <c r="C103" s="143"/>
      <c r="D103" s="144"/>
      <c r="E103" s="143"/>
      <c r="F103" s="144"/>
      <c r="G103" s="62" t="s">
        <v>2</v>
      </c>
      <c r="H103" s="67"/>
      <c r="I103" s="67"/>
      <c r="J103" s="74" t="str">
        <f>IF(H103-I103=0,"",IF(OR((H103+N103-I103)&gt;3,(H103+N103-I103)&lt;-3),"超限",IF(AND((H103+N103-I103)&lt;=3,(H103+N103-I103)&gt;0),"+"&amp;(H103+N103-I103),(H103+N103-I103))))&amp;""</f>
        <v/>
      </c>
      <c r="K103" s="58"/>
      <c r="L103" s="6"/>
      <c r="M103" s="10"/>
      <c r="N103" s="75" t="str">
        <f t="shared" ref="N103" si="50">N100&amp;""</f>
        <v>4687</v>
      </c>
    </row>
    <row r="104" spans="1:14" ht="24.95" customHeight="1" x14ac:dyDescent="0.15">
      <c r="A104" s="128"/>
      <c r="B104" s="104" t="s">
        <v>42</v>
      </c>
      <c r="C104" s="143"/>
      <c r="D104" s="144"/>
      <c r="E104" s="143"/>
      <c r="F104" s="144"/>
      <c r="G104" s="62" t="s">
        <v>4</v>
      </c>
      <c r="H104" s="67"/>
      <c r="I104" s="67"/>
      <c r="J104" s="74" t="str">
        <f>IF(H104-I104=0,"",IF(OR((H104+N104-I104)&gt;3,(H104+N104-I104)&lt;-3),"超限",IF(AND((H104+N104-I104)&lt;=3,(H104+N104-I104)&gt;0),"+"&amp;(H104+N104-I104),(H104+N104-I104))))</f>
        <v/>
      </c>
      <c r="K104" s="76"/>
      <c r="L104" s="6"/>
      <c r="M104" s="10"/>
      <c r="N104" s="75" t="str">
        <f t="shared" ref="N104" si="51">N99&amp;""</f>
        <v>4787</v>
      </c>
    </row>
    <row r="105" spans="1:14" ht="24.95" customHeight="1" x14ac:dyDescent="0.15">
      <c r="A105" s="128"/>
      <c r="B105" s="104"/>
      <c r="C105" s="141">
        <f>(C103-C104)/10</f>
        <v>0</v>
      </c>
      <c r="D105" s="142"/>
      <c r="E105" s="141">
        <f>(E103-E104)/10</f>
        <v>0</v>
      </c>
      <c r="F105" s="142"/>
      <c r="G105" s="64" t="s">
        <v>34</v>
      </c>
      <c r="H105" s="68">
        <f>IF((H103-H104)/1000&gt;0,"+"&amp;(H103-H104)/1000,(H103-H104)/1000)</f>
        <v>0</v>
      </c>
      <c r="I105" s="68">
        <f>IF((I103-I104)/1000&gt;0,"+"&amp;(I103-I104)/1000,(I103-I104)/1000)</f>
        <v>0</v>
      </c>
      <c r="J105" s="77" t="str">
        <f>IF(H105-I105=0,"",IF((IF(ABS(J103-J104)&gt;5,"超限",J103-J104))&gt;0,"+"&amp;(J103-J104),(J103-J104)))&amp;""</f>
        <v/>
      </c>
      <c r="K105" s="83">
        <f t="shared" ref="K105" si="52">IF(H105-I105=0,0,IF(H105-I105&gt;0,(H105+I105+100)/2,(H105+I105-100)/2))</f>
        <v>0</v>
      </c>
      <c r="L105" s="6"/>
      <c r="M105" s="10"/>
      <c r="N105" s="11">
        <v>0</v>
      </c>
    </row>
    <row r="106" spans="1:14" ht="24.95" customHeight="1" x14ac:dyDescent="0.15">
      <c r="A106" s="129"/>
      <c r="B106" s="94"/>
      <c r="C106" s="132">
        <f>IF(C103=C104,0,IF(ABS((C105-E105))&gt;3,"超限",ROUND((C105-E105),1))&amp;"")</f>
        <v>0</v>
      </c>
      <c r="D106" s="133"/>
      <c r="E106" s="134" t="str">
        <f>IF(C106=0,"",IF((ABS(C106+E102))&gt;10,"超限",C106+E102))</f>
        <v/>
      </c>
      <c r="F106" s="135"/>
      <c r="G106" s="30"/>
      <c r="H106" s="103"/>
      <c r="I106" s="103"/>
      <c r="J106" s="65"/>
      <c r="K106" s="61"/>
      <c r="L106" s="6"/>
      <c r="M106" s="10"/>
      <c r="N106" s="11">
        <v>0</v>
      </c>
    </row>
    <row r="107" spans="1:14" ht="24.95" customHeight="1" x14ac:dyDescent="0.15">
      <c r="A107" s="124">
        <v>25</v>
      </c>
      <c r="B107" s="94"/>
      <c r="C107" s="143"/>
      <c r="D107" s="144"/>
      <c r="E107" s="143"/>
      <c r="F107" s="144"/>
      <c r="G107" s="62" t="s">
        <v>2</v>
      </c>
      <c r="H107" s="67"/>
      <c r="I107" s="67"/>
      <c r="J107" s="74" t="str">
        <f>IF(H107-I107=0,"",IF(OR((H107+N107-I107)&gt;3,(H107+N107-I107)&lt;-3),"超限",IF(AND((H107+N107-I107)&lt;=3,(H107+N107-I107)&gt;0),"+"&amp;(H107+N107-I107),(H107+N107-I107))))&amp;""</f>
        <v/>
      </c>
      <c r="K107" s="58"/>
      <c r="L107" s="6"/>
      <c r="M107" s="10"/>
      <c r="N107" s="75" t="str">
        <f t="shared" ref="N107" si="53">IF(M103=4687,4687,4787)&amp;""</f>
        <v>4787</v>
      </c>
    </row>
    <row r="108" spans="1:14" ht="24.95" customHeight="1" x14ac:dyDescent="0.15">
      <c r="A108" s="128"/>
      <c r="B108" s="104" t="s">
        <v>42</v>
      </c>
      <c r="C108" s="143"/>
      <c r="D108" s="144"/>
      <c r="E108" s="143"/>
      <c r="F108" s="144"/>
      <c r="G108" s="62" t="s">
        <v>4</v>
      </c>
      <c r="H108" s="67"/>
      <c r="I108" s="67"/>
      <c r="J108" s="74" t="str">
        <f>IF(H108-I108=0,"",IF(OR((H108+N108-I108)&gt;3,(H108+N108-I108)&lt;-3),"超限",IF(AND((H108+N108-I108)&lt;=3,(H108+N108-I108)&gt;0),"+"&amp;(H108+N108-I108),(H108+N108-I108))))</f>
        <v/>
      </c>
      <c r="K108" s="76"/>
      <c r="L108" s="6"/>
      <c r="M108" s="10"/>
      <c r="N108" s="75" t="str">
        <f t="shared" ref="N108" si="54">IF(M103=4687,4787,4687)&amp;""</f>
        <v>4687</v>
      </c>
    </row>
    <row r="109" spans="1:14" ht="24.95" customHeight="1" x14ac:dyDescent="0.15">
      <c r="A109" s="128"/>
      <c r="B109" s="104"/>
      <c r="C109" s="141">
        <f>(C107-C108)/10</f>
        <v>0</v>
      </c>
      <c r="D109" s="142"/>
      <c r="E109" s="141">
        <f>(E107-E108)/10</f>
        <v>0</v>
      </c>
      <c r="F109" s="142"/>
      <c r="G109" s="64" t="s">
        <v>34</v>
      </c>
      <c r="H109" s="68">
        <f>IF((H107-H108)/1000&gt;0,"+"&amp;(H107-H108)/1000,(H107-H108)/1000)</f>
        <v>0</v>
      </c>
      <c r="I109" s="68">
        <f>IF((I107-I108)/1000&gt;0,"+"&amp;(I107-I108)/1000,(I107-I108)/1000)</f>
        <v>0</v>
      </c>
      <c r="J109" s="77" t="str">
        <f>IF(H109-I109=0,"",IF((IF(ABS(J107-J108)&gt;5,"超限",J107-J108))&gt;0,"+"&amp;(J107-J108),(J107-J108)))&amp;""</f>
        <v/>
      </c>
      <c r="K109" s="83">
        <f t="shared" ref="K109" si="55">IF(H109-I109=0,0,IF(H109-I109&gt;0,(H109+I109+100)/2,(H109+I109-100)/2))</f>
        <v>0</v>
      </c>
      <c r="L109" s="6"/>
      <c r="M109" s="10"/>
      <c r="N109" s="11">
        <v>0</v>
      </c>
    </row>
    <row r="110" spans="1:14" ht="24.95" customHeight="1" x14ac:dyDescent="0.15">
      <c r="A110" s="129"/>
      <c r="B110" s="94"/>
      <c r="C110" s="132">
        <f>IF(C107=C108,0,IF(ABS((C109-E109))&gt;3,"超限",ROUND((C109-E109),1))&amp;"")</f>
        <v>0</v>
      </c>
      <c r="D110" s="133"/>
      <c r="E110" s="134" t="str">
        <f>IF(C110=0,"",IF((ABS(C110+E106))&gt;10,"超限",C110+E106))</f>
        <v/>
      </c>
      <c r="F110" s="135"/>
      <c r="G110" s="30"/>
      <c r="H110" s="103"/>
      <c r="I110" s="103"/>
      <c r="J110" s="65"/>
      <c r="K110" s="61"/>
      <c r="L110" s="6"/>
      <c r="M110" s="10"/>
      <c r="N110" s="11">
        <v>0</v>
      </c>
    </row>
    <row r="111" spans="1:14" ht="24.95" customHeight="1" x14ac:dyDescent="0.15">
      <c r="A111" s="124">
        <v>26</v>
      </c>
      <c r="B111" s="94"/>
      <c r="C111" s="143"/>
      <c r="D111" s="144"/>
      <c r="E111" s="143"/>
      <c r="F111" s="144"/>
      <c r="G111" s="62" t="s">
        <v>2</v>
      </c>
      <c r="H111" s="67"/>
      <c r="I111" s="67"/>
      <c r="J111" s="74" t="str">
        <f>IF(H111-I111=0,"",IF(OR((H111+N111-I111)&gt;3,(H111+N111-I111)&lt;-3),"超限",IF(AND((H111+N111-I111)&lt;=3,(H111+N111-I111)&gt;0),"+"&amp;(H111+N111-I111),(H111+N111-I111))))&amp;""</f>
        <v/>
      </c>
      <c r="K111" s="58"/>
      <c r="L111" s="6"/>
      <c r="M111" s="10"/>
      <c r="N111" s="75" t="str">
        <f t="shared" ref="N111" si="56">N108&amp;""</f>
        <v>4687</v>
      </c>
    </row>
    <row r="112" spans="1:14" ht="24.95" customHeight="1" x14ac:dyDescent="0.15">
      <c r="A112" s="128"/>
      <c r="B112" s="104" t="s">
        <v>42</v>
      </c>
      <c r="C112" s="143"/>
      <c r="D112" s="144"/>
      <c r="E112" s="143"/>
      <c r="F112" s="144"/>
      <c r="G112" s="62" t="s">
        <v>4</v>
      </c>
      <c r="H112" s="67"/>
      <c r="I112" s="67"/>
      <c r="J112" s="74" t="str">
        <f>IF(H112-I112=0,"",IF(OR((H112+N112-I112)&gt;3,(H112+N112-I112)&lt;-3),"超限",IF(AND((H112+N112-I112)&lt;=3,(H112+N112-I112)&gt;0),"+"&amp;(H112+N112-I112),(H112+N112-I112))))</f>
        <v/>
      </c>
      <c r="K112" s="76"/>
      <c r="L112" s="6"/>
      <c r="M112" s="10"/>
      <c r="N112" s="75" t="str">
        <f t="shared" ref="N112" si="57">N107&amp;""</f>
        <v>4787</v>
      </c>
    </row>
    <row r="113" spans="1:14" ht="24.95" customHeight="1" x14ac:dyDescent="0.15">
      <c r="A113" s="128"/>
      <c r="B113" s="104"/>
      <c r="C113" s="141">
        <f>(C111-C112)/10</f>
        <v>0</v>
      </c>
      <c r="D113" s="142"/>
      <c r="E113" s="141">
        <f>(E111-E112)/10</f>
        <v>0</v>
      </c>
      <c r="F113" s="142"/>
      <c r="G113" s="64" t="s">
        <v>34</v>
      </c>
      <c r="H113" s="68">
        <f>IF((H111-H112)/1000&gt;0,"+"&amp;(H111-H112)/1000,(H111-H112)/1000)</f>
        <v>0</v>
      </c>
      <c r="I113" s="68">
        <f>IF((I111-I112)/1000&gt;0,"+"&amp;(I111-I112)/1000,(I111-I112)/1000)</f>
        <v>0</v>
      </c>
      <c r="J113" s="77" t="str">
        <f>IF(H113-I113=0,"",IF((IF(ABS(J111-J112)&gt;5,"超限",J111-J112))&gt;0,"+"&amp;(J111-J112),(J111-J112)))&amp;""</f>
        <v/>
      </c>
      <c r="K113" s="83">
        <f t="shared" ref="K113" si="58">IF(H113-I113=0,0,IF(H113-I113&gt;0,(H113+I113+100)/2,(H113+I113-100)/2))</f>
        <v>0</v>
      </c>
      <c r="L113" s="6"/>
      <c r="M113" s="10"/>
      <c r="N113" s="11">
        <v>0</v>
      </c>
    </row>
    <row r="114" spans="1:14" ht="24.95" customHeight="1" x14ac:dyDescent="0.15">
      <c r="A114" s="129"/>
      <c r="B114" s="94"/>
      <c r="C114" s="132">
        <f>IF(C111=C112,0,IF(ABS((C113-E113))&gt;3,"超限",ROUND((C113-E113),1))&amp;"")</f>
        <v>0</v>
      </c>
      <c r="D114" s="133"/>
      <c r="E114" s="134" t="str">
        <f>IF(C114=0,"",IF((ABS(C114+E110))&gt;10,"超限",C114+E110))</f>
        <v/>
      </c>
      <c r="F114" s="135"/>
      <c r="G114" s="30"/>
      <c r="H114" s="103"/>
      <c r="I114" s="103"/>
      <c r="J114" s="65"/>
      <c r="K114" s="61"/>
      <c r="L114" s="6"/>
      <c r="M114" s="10"/>
      <c r="N114" s="11">
        <v>0</v>
      </c>
    </row>
    <row r="115" spans="1:14" ht="24.95" customHeight="1" x14ac:dyDescent="0.15">
      <c r="A115" s="124">
        <v>27</v>
      </c>
      <c r="B115" s="94"/>
      <c r="C115" s="143"/>
      <c r="D115" s="144"/>
      <c r="E115" s="143"/>
      <c r="F115" s="144"/>
      <c r="G115" s="62" t="s">
        <v>2</v>
      </c>
      <c r="H115" s="67"/>
      <c r="I115" s="67"/>
      <c r="J115" s="74" t="str">
        <f>IF(H115-I115=0,"",IF(OR((H115+N115-I115)&gt;3,(H115+N115-I115)&lt;-3),"超限",IF(AND((H115+N115-I115)&lt;=3,(H115+N115-I115)&gt;0),"+"&amp;(H115+N115-I115),(H115+N115-I115))))&amp;""</f>
        <v/>
      </c>
      <c r="K115" s="58"/>
      <c r="L115" s="6"/>
      <c r="M115" s="10"/>
      <c r="N115" s="75" t="str">
        <f t="shared" ref="N115" si="59">IF(M111=4687,4687,4787)&amp;""</f>
        <v>4787</v>
      </c>
    </row>
    <row r="116" spans="1:14" ht="24.95" customHeight="1" x14ac:dyDescent="0.15">
      <c r="A116" s="128"/>
      <c r="B116" s="104" t="s">
        <v>42</v>
      </c>
      <c r="C116" s="143"/>
      <c r="D116" s="144"/>
      <c r="E116" s="143"/>
      <c r="F116" s="144"/>
      <c r="G116" s="62" t="s">
        <v>4</v>
      </c>
      <c r="H116" s="67"/>
      <c r="I116" s="67"/>
      <c r="J116" s="74" t="str">
        <f>IF(H116-I116=0,"",IF(OR((H116+N116-I116)&gt;3,(H116+N116-I116)&lt;-3),"超限",IF(AND((H116+N116-I116)&lt;=3,(H116+N116-I116)&gt;0),"+"&amp;(H116+N116-I116),(H116+N116-I116))))</f>
        <v/>
      </c>
      <c r="K116" s="76"/>
      <c r="L116" s="6"/>
      <c r="M116" s="10"/>
      <c r="N116" s="75" t="str">
        <f t="shared" ref="N116" si="60">IF(M111=4687,4787,4687)&amp;""</f>
        <v>4687</v>
      </c>
    </row>
    <row r="117" spans="1:14" ht="24.95" customHeight="1" x14ac:dyDescent="0.15">
      <c r="A117" s="128"/>
      <c r="B117" s="104"/>
      <c r="C117" s="141">
        <f>(C115-C116)/10</f>
        <v>0</v>
      </c>
      <c r="D117" s="142"/>
      <c r="E117" s="141">
        <f>(E115-E116)/10</f>
        <v>0</v>
      </c>
      <c r="F117" s="142"/>
      <c r="G117" s="64" t="s">
        <v>34</v>
      </c>
      <c r="H117" s="68">
        <f>IF((H115-H116)/1000&gt;0,"+"&amp;(H115-H116)/1000,(H115-H116)/1000)</f>
        <v>0</v>
      </c>
      <c r="I117" s="68">
        <f>IF((I115-I116)/1000&gt;0,"+"&amp;(I115-I116)/1000,(I115-I116)/1000)</f>
        <v>0</v>
      </c>
      <c r="J117" s="77" t="str">
        <f>IF(H117-I117=0,"",IF((IF(ABS(J115-J116)&gt;5,"超限",J115-J116))&gt;0,"+"&amp;(J115-J116),(J115-J116)))&amp;""</f>
        <v/>
      </c>
      <c r="K117" s="83">
        <f t="shared" ref="K117" si="61">IF(H117-I117=0,0,IF(H117-I117&gt;0,(H117+I117+100)/2,(H117+I117-100)/2))</f>
        <v>0</v>
      </c>
      <c r="L117" s="6"/>
      <c r="M117" s="10"/>
      <c r="N117" s="11">
        <v>0</v>
      </c>
    </row>
    <row r="118" spans="1:14" ht="24.95" customHeight="1" x14ac:dyDescent="0.15">
      <c r="A118" s="129"/>
      <c r="B118" s="94"/>
      <c r="C118" s="132">
        <f>IF(C115=C116,0,IF(ABS((C117-E117))&gt;3,"超限",ROUND((C117-E117),1))&amp;"")</f>
        <v>0</v>
      </c>
      <c r="D118" s="133"/>
      <c r="E118" s="134" t="str">
        <f>IF(C118=0,"",IF((ABS(C118+E114))&gt;10,"超限",C118+E114))</f>
        <v/>
      </c>
      <c r="F118" s="135"/>
      <c r="G118" s="30"/>
      <c r="H118" s="103"/>
      <c r="I118" s="103"/>
      <c r="J118" s="65"/>
      <c r="K118" s="61"/>
      <c r="L118" s="6"/>
      <c r="M118" s="10"/>
      <c r="N118" s="11">
        <v>0</v>
      </c>
    </row>
    <row r="119" spans="1:14" ht="24.95" customHeight="1" x14ac:dyDescent="0.15">
      <c r="A119" s="124">
        <v>28</v>
      </c>
      <c r="B119" s="94"/>
      <c r="C119" s="143"/>
      <c r="D119" s="144"/>
      <c r="E119" s="143"/>
      <c r="F119" s="144"/>
      <c r="G119" s="62" t="s">
        <v>2</v>
      </c>
      <c r="H119" s="67"/>
      <c r="I119" s="67"/>
      <c r="J119" s="74" t="str">
        <f>IF(H119-I119=0,"",IF(OR((H119+N119-I119)&gt;3,(H119+N119-I119)&lt;-3),"超限",IF(AND((H119+N119-I119)&lt;=3,(H119+N119-I119)&gt;0),"+"&amp;(H119+N119-I119),(H119+N119-I119))))&amp;""</f>
        <v/>
      </c>
      <c r="K119" s="58"/>
      <c r="L119" s="6"/>
      <c r="M119" s="10"/>
      <c r="N119" s="75" t="str">
        <f t="shared" ref="N119" si="62">N116&amp;""</f>
        <v>4687</v>
      </c>
    </row>
    <row r="120" spans="1:14" ht="24.95" customHeight="1" x14ac:dyDescent="0.15">
      <c r="A120" s="128"/>
      <c r="B120" s="104" t="s">
        <v>42</v>
      </c>
      <c r="C120" s="143"/>
      <c r="D120" s="144"/>
      <c r="E120" s="143"/>
      <c r="F120" s="144"/>
      <c r="G120" s="62" t="s">
        <v>4</v>
      </c>
      <c r="H120" s="67"/>
      <c r="I120" s="67"/>
      <c r="J120" s="74" t="str">
        <f>IF(H120-I120=0,"",IF(OR((H120+N120-I120)&gt;3,(H120+N120-I120)&lt;-3),"超限",IF(AND((H120+N120-I120)&lt;=3,(H120+N120-I120)&gt;0),"+"&amp;(H120+N120-I120),(H120+N120-I120))))</f>
        <v/>
      </c>
      <c r="K120" s="76"/>
      <c r="L120" s="6"/>
      <c r="M120" s="10"/>
      <c r="N120" s="75" t="str">
        <f t="shared" ref="N120" si="63">N115&amp;""</f>
        <v>4787</v>
      </c>
    </row>
    <row r="121" spans="1:14" ht="24.95" customHeight="1" x14ac:dyDescent="0.15">
      <c r="A121" s="128"/>
      <c r="B121" s="104"/>
      <c r="C121" s="141">
        <f>(C119-C120)/10</f>
        <v>0</v>
      </c>
      <c r="D121" s="142"/>
      <c r="E121" s="141">
        <f>(E119-E120)/10</f>
        <v>0</v>
      </c>
      <c r="F121" s="142"/>
      <c r="G121" s="64" t="s">
        <v>34</v>
      </c>
      <c r="H121" s="68">
        <f>IF((H119-H120)/1000&gt;0,"+"&amp;(H119-H120)/1000,(H119-H120)/1000)</f>
        <v>0</v>
      </c>
      <c r="I121" s="68">
        <f>IF((I119-I120)/1000&gt;0,"+"&amp;(I119-I120)/1000,(I119-I120)/1000)</f>
        <v>0</v>
      </c>
      <c r="J121" s="77" t="str">
        <f>IF(H121-I121=0,"",IF((IF(ABS(J119-J120)&gt;5,"超限",J119-J120))&gt;0,"+"&amp;(J119-J120),(J119-J120)))&amp;""</f>
        <v/>
      </c>
      <c r="K121" s="83">
        <f t="shared" ref="K121" si="64">IF(H121-I121=0,0,IF(H121-I121&gt;0,(H121+I121+100)/2,(H121+I121-100)/2))</f>
        <v>0</v>
      </c>
      <c r="L121" s="6"/>
      <c r="M121" s="10"/>
      <c r="N121" s="11">
        <v>0</v>
      </c>
    </row>
    <row r="122" spans="1:14" ht="24.95" customHeight="1" x14ac:dyDescent="0.15">
      <c r="A122" s="129"/>
      <c r="B122" s="94"/>
      <c r="C122" s="132">
        <f>IF(C119=C120,0,IF(ABS((C121-E121))&gt;3,"超限",ROUND((C121-E121),1))&amp;"")</f>
        <v>0</v>
      </c>
      <c r="D122" s="133"/>
      <c r="E122" s="134" t="str">
        <f>IF(C122=0,"",IF((ABS(C122+E118))&gt;10,"超限",C122+E118))</f>
        <v/>
      </c>
      <c r="F122" s="135"/>
      <c r="G122" s="30"/>
      <c r="H122" s="103"/>
      <c r="I122" s="103"/>
      <c r="J122" s="65"/>
      <c r="K122" s="61"/>
      <c r="L122" s="6"/>
      <c r="M122" s="10"/>
      <c r="N122" s="11">
        <v>0</v>
      </c>
    </row>
    <row r="123" spans="1:14" ht="24.95" customHeight="1" x14ac:dyDescent="0.15">
      <c r="A123" s="124">
        <v>29</v>
      </c>
      <c r="B123" s="94"/>
      <c r="C123" s="143"/>
      <c r="D123" s="144"/>
      <c r="E123" s="143"/>
      <c r="F123" s="144"/>
      <c r="G123" s="62" t="s">
        <v>2</v>
      </c>
      <c r="H123" s="67"/>
      <c r="I123" s="67"/>
      <c r="J123" s="74" t="str">
        <f>IF(H123-I123=0,"",IF(OR((H123+N123-I123)&gt;3,(H123+N123-I123)&lt;-3),"超限",IF(AND((H123+N123-I123)&lt;=3,(H123+N123-I123)&gt;0),"+"&amp;(H123+N123-I123),(H123+N123-I123))))&amp;""</f>
        <v/>
      </c>
      <c r="K123" s="58"/>
      <c r="L123" s="6"/>
      <c r="M123" s="10"/>
      <c r="N123" s="75" t="str">
        <f t="shared" ref="N123" si="65">IF(M119=4687,4687,4787)&amp;""</f>
        <v>4787</v>
      </c>
    </row>
    <row r="124" spans="1:14" ht="24.95" customHeight="1" x14ac:dyDescent="0.15">
      <c r="A124" s="128"/>
      <c r="B124" s="104" t="s">
        <v>42</v>
      </c>
      <c r="C124" s="143"/>
      <c r="D124" s="144"/>
      <c r="E124" s="143"/>
      <c r="F124" s="144"/>
      <c r="G124" s="62" t="s">
        <v>4</v>
      </c>
      <c r="H124" s="67"/>
      <c r="I124" s="67"/>
      <c r="J124" s="74" t="str">
        <f>IF(H124-I124=0,"",IF(OR((H124+N124-I124)&gt;3,(H124+N124-I124)&lt;-3),"超限",IF(AND((H124+N124-I124)&lt;=3,(H124+N124-I124)&gt;0),"+"&amp;(H124+N124-I124),(H124+N124-I124))))</f>
        <v/>
      </c>
      <c r="K124" s="76"/>
      <c r="L124" s="6"/>
      <c r="M124" s="10"/>
      <c r="N124" s="75" t="str">
        <f t="shared" ref="N124" si="66">IF(M119=4687,4787,4687)&amp;""</f>
        <v>4687</v>
      </c>
    </row>
    <row r="125" spans="1:14" ht="24.95" customHeight="1" x14ac:dyDescent="0.15">
      <c r="A125" s="128"/>
      <c r="B125" s="104"/>
      <c r="C125" s="141">
        <f>(C123-C124)/10</f>
        <v>0</v>
      </c>
      <c r="D125" s="142"/>
      <c r="E125" s="141">
        <f>(E123-E124)/10</f>
        <v>0</v>
      </c>
      <c r="F125" s="142"/>
      <c r="G125" s="64" t="s">
        <v>34</v>
      </c>
      <c r="H125" s="68">
        <f>IF((H123-H124)/1000&gt;0,"+"&amp;(H123-H124)/1000,(H123-H124)/1000)</f>
        <v>0</v>
      </c>
      <c r="I125" s="68">
        <f>IF((I123-I124)/1000&gt;0,"+"&amp;(I123-I124)/1000,(I123-I124)/1000)</f>
        <v>0</v>
      </c>
      <c r="J125" s="77" t="str">
        <f>IF(H125-I125=0,"",IF((IF(ABS(J123-J124)&gt;5,"超限",J123-J124))&gt;0,"+"&amp;(J123-J124),(J123-J124)))&amp;""</f>
        <v/>
      </c>
      <c r="K125" s="83">
        <f t="shared" ref="K125" si="67">IF(H125-I125=0,0,IF(H125-I125&gt;0,(H125+I125+100)/2,(H125+I125-100)/2))</f>
        <v>0</v>
      </c>
      <c r="L125" s="6"/>
      <c r="M125" s="10"/>
      <c r="N125" s="11">
        <v>0</v>
      </c>
    </row>
    <row r="126" spans="1:14" ht="24.95" customHeight="1" x14ac:dyDescent="0.15">
      <c r="A126" s="129"/>
      <c r="B126" s="94"/>
      <c r="C126" s="132">
        <f>IF(C123=C124,0,IF(ABS((C125-E125))&gt;3,"超限",ROUND((C125-E125),1))&amp;"")</f>
        <v>0</v>
      </c>
      <c r="D126" s="133"/>
      <c r="E126" s="134" t="str">
        <f>IF(C126=0,"",IF((ABS(C126+E122))&gt;10,"超限",C126+E122))</f>
        <v/>
      </c>
      <c r="F126" s="135"/>
      <c r="G126" s="30"/>
      <c r="H126" s="103"/>
      <c r="I126" s="103"/>
      <c r="J126" s="65"/>
      <c r="K126" s="61"/>
      <c r="L126" s="6"/>
      <c r="M126" s="10"/>
      <c r="N126" s="11">
        <v>0</v>
      </c>
    </row>
    <row r="127" spans="1:14" ht="24.95" customHeight="1" x14ac:dyDescent="0.15">
      <c r="A127" s="124">
        <v>30</v>
      </c>
      <c r="B127" s="94"/>
      <c r="C127" s="143"/>
      <c r="D127" s="144"/>
      <c r="E127" s="143"/>
      <c r="F127" s="144"/>
      <c r="G127" s="62" t="s">
        <v>2</v>
      </c>
      <c r="H127" s="67"/>
      <c r="I127" s="67"/>
      <c r="J127" s="74" t="str">
        <f>IF(H127-I127=0,"",IF(OR((H127+N127-I127)&gt;3,(H127+N127-I127)&lt;-3),"超限",IF(AND((H127+N127-I127)&lt;=3,(H127+N127-I127)&gt;0),"+"&amp;(H127+N127-I127),(H127+N127-I127))))&amp;""</f>
        <v/>
      </c>
      <c r="K127" s="58"/>
      <c r="L127" s="6"/>
      <c r="M127" s="10"/>
      <c r="N127" s="75" t="str">
        <f t="shared" ref="N127" si="68">N124&amp;""</f>
        <v>4687</v>
      </c>
    </row>
    <row r="128" spans="1:14" ht="24.95" customHeight="1" x14ac:dyDescent="0.15">
      <c r="A128" s="128"/>
      <c r="B128" s="104" t="s">
        <v>42</v>
      </c>
      <c r="C128" s="143"/>
      <c r="D128" s="144"/>
      <c r="E128" s="143"/>
      <c r="F128" s="144"/>
      <c r="G128" s="62" t="s">
        <v>4</v>
      </c>
      <c r="H128" s="67"/>
      <c r="I128" s="67"/>
      <c r="J128" s="74" t="str">
        <f>IF(H128-I128=0,"",IF(OR((H128+N128-I128)&gt;3,(H128+N128-I128)&lt;-3),"超限",IF(AND((H128+N128-I128)&lt;=3,(H128+N128-I128)&gt;0),"+"&amp;(H128+N128-I128),(H128+N128-I128))))</f>
        <v/>
      </c>
      <c r="K128" s="76"/>
      <c r="L128" s="6"/>
      <c r="M128" s="10"/>
      <c r="N128" s="75" t="str">
        <f t="shared" ref="N128" si="69">N123&amp;""</f>
        <v>4787</v>
      </c>
    </row>
    <row r="129" spans="1:14" ht="24.95" customHeight="1" x14ac:dyDescent="0.15">
      <c r="A129" s="128"/>
      <c r="B129" s="104"/>
      <c r="C129" s="141">
        <f>(C127-C128)/10</f>
        <v>0</v>
      </c>
      <c r="D129" s="142"/>
      <c r="E129" s="141">
        <f>(E127-E128)/10</f>
        <v>0</v>
      </c>
      <c r="F129" s="142"/>
      <c r="G129" s="64" t="s">
        <v>34</v>
      </c>
      <c r="H129" s="68">
        <f>IF((H127-H128)/1000&gt;0,"+"&amp;(H127-H128)/1000,(H127-H128)/1000)</f>
        <v>0</v>
      </c>
      <c r="I129" s="68">
        <f>IF((I127-I128)/1000&gt;0,"+"&amp;(I127-I128)/1000,(I127-I128)/1000)</f>
        <v>0</v>
      </c>
      <c r="J129" s="77" t="str">
        <f>IF(H129-I129=0,"",IF((IF(ABS(J127-J128)&gt;5,"超限",J127-J128))&gt;0,"+"&amp;(J127-J128),(J127-J128)))&amp;""</f>
        <v/>
      </c>
      <c r="K129" s="83">
        <f t="shared" ref="K129" si="70">IF(H129-I129=0,0,IF(H129-I129&gt;0,(H129+I129+100)/2,(H129+I129-100)/2))</f>
        <v>0</v>
      </c>
      <c r="L129" s="6"/>
      <c r="M129" s="10"/>
      <c r="N129" s="11">
        <v>0</v>
      </c>
    </row>
    <row r="130" spans="1:14" ht="24.95" customHeight="1" x14ac:dyDescent="0.15">
      <c r="A130" s="125"/>
      <c r="B130" s="94"/>
      <c r="C130" s="132">
        <f>IF(C127=C128,0,IF(ABS((C129-E129))&gt;3,"超限",ROUND((C129-E129),1))&amp;"")</f>
        <v>0</v>
      </c>
      <c r="D130" s="133"/>
      <c r="E130" s="134" t="str">
        <f>IF(C130=0,"",IF((ABS(C130+E126))&gt;10,"超限",C130+E126))</f>
        <v/>
      </c>
      <c r="F130" s="135"/>
      <c r="G130" s="30"/>
      <c r="H130" s="103"/>
      <c r="I130" s="103"/>
      <c r="J130" s="65"/>
      <c r="K130" s="61"/>
      <c r="L130" s="6"/>
      <c r="M130" s="10"/>
      <c r="N130" s="11">
        <v>0</v>
      </c>
    </row>
    <row r="131" spans="1:14" ht="15.75" customHeight="1" x14ac:dyDescent="0.15">
      <c r="A131" s="130" t="s">
        <v>43</v>
      </c>
      <c r="B131" s="84" t="s">
        <v>44</v>
      </c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91"/>
    </row>
    <row r="132" spans="1:14" ht="15.75" customHeight="1" x14ac:dyDescent="0.15">
      <c r="A132" s="131"/>
      <c r="B132" s="136" t="s">
        <v>45</v>
      </c>
      <c r="C132" s="137"/>
      <c r="D132" s="137"/>
      <c r="E132" s="137"/>
      <c r="F132" s="86" t="s">
        <v>46</v>
      </c>
      <c r="G132" s="5"/>
      <c r="H132" s="6"/>
      <c r="I132" s="5"/>
      <c r="J132" s="5"/>
      <c r="K132" s="9"/>
      <c r="L132" s="6"/>
      <c r="M132" s="10"/>
    </row>
    <row r="133" spans="1:14" ht="15.75" customHeight="1" x14ac:dyDescent="0.15">
      <c r="A133" s="131"/>
      <c r="B133" s="136" t="s">
        <v>47</v>
      </c>
      <c r="C133" s="137"/>
      <c r="D133" s="137"/>
      <c r="E133" s="137"/>
      <c r="F133" s="86" t="s">
        <v>48</v>
      </c>
      <c r="G133" s="5"/>
      <c r="H133" s="6"/>
      <c r="I133" s="5"/>
      <c r="J133" s="5"/>
      <c r="K133" s="9"/>
      <c r="L133" s="6"/>
      <c r="M133" s="10"/>
    </row>
    <row r="134" spans="1:14" ht="15.75" customHeight="1" x14ac:dyDescent="0.15">
      <c r="A134" s="131"/>
      <c r="B134" s="136" t="s">
        <v>49</v>
      </c>
      <c r="C134" s="137"/>
      <c r="D134" s="137"/>
      <c r="E134" s="137"/>
      <c r="F134" s="86" t="s">
        <v>50</v>
      </c>
      <c r="G134" s="5"/>
      <c r="H134" s="6"/>
      <c r="I134" s="5"/>
      <c r="J134" s="5"/>
      <c r="K134" s="9"/>
      <c r="L134" s="6"/>
      <c r="M134" s="10"/>
    </row>
    <row r="135" spans="1:14" ht="15.75" customHeight="1" x14ac:dyDescent="0.15">
      <c r="A135" s="131"/>
      <c r="B135" s="136" t="s">
        <v>51</v>
      </c>
      <c r="C135" s="137"/>
      <c r="D135" s="137"/>
      <c r="E135" s="137"/>
      <c r="F135" s="86" t="s">
        <v>52</v>
      </c>
      <c r="G135" s="5"/>
      <c r="H135" s="6"/>
      <c r="I135" s="5"/>
      <c r="J135" s="92" t="s">
        <v>53</v>
      </c>
      <c r="K135" s="9"/>
      <c r="L135" s="6"/>
      <c r="M135" s="10"/>
    </row>
    <row r="136" spans="1:14" ht="15.75" customHeight="1" x14ac:dyDescent="0.15">
      <c r="A136" s="131"/>
      <c r="B136" s="1"/>
      <c r="C136" s="3"/>
      <c r="D136" s="4"/>
      <c r="E136" s="5"/>
      <c r="F136" s="5"/>
      <c r="G136" s="5"/>
      <c r="H136" s="6"/>
      <c r="I136" s="5"/>
      <c r="J136" s="5"/>
      <c r="K136" s="9"/>
      <c r="L136" s="6"/>
      <c r="M136" s="10"/>
    </row>
    <row r="137" spans="1:14" ht="15.75" customHeight="1" x14ac:dyDescent="0.15">
      <c r="A137" s="131"/>
      <c r="B137" s="1" t="s">
        <v>54</v>
      </c>
      <c r="C137" s="3"/>
      <c r="D137" s="4"/>
      <c r="E137" s="5"/>
      <c r="F137" s="5"/>
      <c r="G137" s="5"/>
      <c r="H137" s="6"/>
      <c r="I137" s="5"/>
      <c r="J137" s="5"/>
      <c r="K137" s="9"/>
      <c r="L137" s="6"/>
      <c r="M137" s="10"/>
    </row>
    <row r="138" spans="1:14" ht="15.75" customHeight="1" x14ac:dyDescent="0.15">
      <c r="A138" s="131"/>
      <c r="B138" s="1"/>
      <c r="C138" s="3"/>
      <c r="D138" s="4"/>
      <c r="E138" s="5"/>
      <c r="F138" s="5"/>
      <c r="G138" s="5"/>
      <c r="H138" s="6"/>
      <c r="I138" s="5"/>
      <c r="J138" s="5"/>
      <c r="K138" s="9"/>
      <c r="L138" s="6"/>
      <c r="M138" s="10"/>
    </row>
    <row r="139" spans="1:14" ht="15.75" customHeight="1" x14ac:dyDescent="0.15">
      <c r="A139" s="131"/>
      <c r="B139" s="1"/>
      <c r="C139" s="3"/>
      <c r="D139" s="4"/>
      <c r="E139" s="5"/>
      <c r="F139" s="5"/>
      <c r="G139" s="5"/>
      <c r="H139" s="6"/>
      <c r="I139" s="5"/>
      <c r="J139" s="5"/>
      <c r="K139" s="9"/>
      <c r="L139" s="6"/>
      <c r="M139" s="10"/>
    </row>
    <row r="140" spans="1:14" ht="15.75" customHeight="1" x14ac:dyDescent="0.15">
      <c r="A140" s="131"/>
      <c r="B140" s="1"/>
      <c r="C140" s="3"/>
      <c r="D140" s="4"/>
      <c r="E140" s="5"/>
      <c r="F140" s="5"/>
      <c r="G140" s="5"/>
      <c r="H140" s="6"/>
      <c r="I140" s="5"/>
      <c r="J140" s="5"/>
      <c r="K140" s="9"/>
      <c r="L140" s="6"/>
      <c r="M140" s="10"/>
    </row>
    <row r="141" spans="1:14" ht="15.75" customHeight="1" x14ac:dyDescent="0.15">
      <c r="A141" s="131"/>
      <c r="B141" s="1"/>
      <c r="C141" s="3"/>
      <c r="D141" s="4"/>
      <c r="E141" s="5"/>
      <c r="F141" s="5"/>
      <c r="G141" s="5"/>
      <c r="H141" s="6"/>
      <c r="I141" s="5"/>
      <c r="J141" s="5"/>
      <c r="K141" s="9"/>
      <c r="L141" s="6"/>
      <c r="M141" s="10"/>
    </row>
    <row r="142" spans="1:14" ht="15.75" customHeight="1" x14ac:dyDescent="0.15">
      <c r="A142" s="131"/>
      <c r="B142" s="87"/>
      <c r="C142" s="88"/>
      <c r="D142" s="89"/>
      <c r="E142" s="90"/>
      <c r="F142" s="90"/>
      <c r="G142" s="90"/>
      <c r="H142" s="8"/>
      <c r="I142" s="90"/>
      <c r="J142" s="90"/>
      <c r="K142" s="93"/>
      <c r="L142" s="8"/>
      <c r="M142" s="12"/>
    </row>
    <row r="143" spans="1:14" ht="15.75" customHeight="1" x14ac:dyDescent="0.15">
      <c r="A143" s="76"/>
    </row>
    <row r="144" spans="1:14" ht="15.75" customHeight="1" x14ac:dyDescent="0.15">
      <c r="A144" s="76"/>
    </row>
    <row r="145" spans="1:11" ht="15.75" customHeight="1" x14ac:dyDescent="0.15">
      <c r="A145" s="76"/>
    </row>
    <row r="146" spans="1:11" ht="15.95" customHeight="1" x14ac:dyDescent="0.15">
      <c r="A146" s="76"/>
    </row>
    <row r="147" spans="1:11" ht="15.95" customHeight="1" x14ac:dyDescent="0.15">
      <c r="A147" s="76"/>
    </row>
    <row r="148" spans="1:11" ht="15.95" customHeight="1" x14ac:dyDescent="0.15">
      <c r="A148" s="76"/>
    </row>
    <row r="149" spans="1:11" ht="15.95" customHeight="1" x14ac:dyDescent="0.15">
      <c r="A149" s="76"/>
    </row>
    <row r="150" spans="1:11" ht="15.95" customHeight="1" x14ac:dyDescent="0.15">
      <c r="A150" s="76"/>
    </row>
    <row r="151" spans="1:11" ht="15.95" customHeight="1" x14ac:dyDescent="0.15">
      <c r="A151" s="76"/>
    </row>
    <row r="152" spans="1:11" ht="15.95" customHeight="1" x14ac:dyDescent="0.15">
      <c r="A152" s="61"/>
    </row>
    <row r="153" spans="1:11" ht="15.95" customHeight="1" x14ac:dyDescent="0.15">
      <c r="A153" s="5"/>
    </row>
    <row r="154" spans="1:11" ht="15.95" customHeight="1" x14ac:dyDescent="0.15">
      <c r="A154" s="5"/>
    </row>
    <row r="155" spans="1:11" ht="15.95" customHeight="1" x14ac:dyDescent="0.15">
      <c r="A155" s="5"/>
      <c r="B155" s="5"/>
      <c r="C155" s="6"/>
      <c r="D155" s="6"/>
      <c r="E155" s="6"/>
      <c r="F155" s="6"/>
      <c r="G155" s="97"/>
      <c r="H155" s="6"/>
      <c r="I155" s="6"/>
      <c r="J155" s="7"/>
      <c r="K155" s="6"/>
    </row>
    <row r="156" spans="1:11" ht="15.95" customHeight="1" x14ac:dyDescent="0.15">
      <c r="A156" s="6"/>
      <c r="B156" s="6"/>
      <c r="C156" s="6"/>
      <c r="D156" s="6"/>
      <c r="E156" s="6"/>
      <c r="F156" s="5"/>
      <c r="G156" s="98"/>
      <c r="H156" s="98"/>
      <c r="I156" s="99"/>
      <c r="J156" s="7"/>
      <c r="K156" s="6"/>
    </row>
    <row r="157" spans="1:11" ht="15.95" customHeight="1" x14ac:dyDescent="0.15">
      <c r="A157" s="6"/>
      <c r="B157" s="6"/>
      <c r="C157" s="6"/>
      <c r="D157" s="6"/>
      <c r="E157" s="6"/>
      <c r="F157" s="5"/>
      <c r="G157" s="100"/>
      <c r="H157" s="100"/>
      <c r="I157" s="5"/>
      <c r="J157" s="101"/>
      <c r="K157" s="6"/>
    </row>
    <row r="158" spans="1:11" ht="15.95" customHeight="1" x14ac:dyDescent="0.15">
      <c r="A158" s="6"/>
      <c r="B158" s="6"/>
      <c r="C158" s="6"/>
      <c r="D158" s="6"/>
      <c r="E158" s="6"/>
      <c r="F158" s="5"/>
      <c r="G158" s="100"/>
      <c r="H158" s="100"/>
      <c r="I158" s="6"/>
      <c r="J158" s="101"/>
      <c r="K158" s="6"/>
    </row>
    <row r="159" spans="1:11" ht="15.95" customHeight="1" x14ac:dyDescent="0.15">
      <c r="A159" s="6"/>
      <c r="B159" s="6"/>
      <c r="C159" s="6"/>
      <c r="D159" s="6"/>
      <c r="E159" s="6"/>
      <c r="F159" s="138"/>
      <c r="G159" s="139"/>
      <c r="H159" s="5"/>
      <c r="I159" s="6"/>
      <c r="J159" s="7"/>
      <c r="K159" s="6"/>
    </row>
    <row r="160" spans="1:11" ht="15.95" customHeight="1" x14ac:dyDescent="0.15"/>
    <row r="161" ht="15.95" customHeight="1" x14ac:dyDescent="0.15"/>
    <row r="162" ht="15.95" customHeight="1" x14ac:dyDescent="0.15"/>
    <row r="163" ht="15.95" customHeight="1" x14ac:dyDescent="0.15"/>
    <row r="164" ht="15.95" customHeight="1" x14ac:dyDescent="0.15"/>
    <row r="165" ht="15.95" customHeight="1" x14ac:dyDescent="0.15"/>
    <row r="166" ht="15.95" customHeight="1" x14ac:dyDescent="0.15"/>
    <row r="167" ht="15.95" customHeight="1" x14ac:dyDescent="0.15"/>
    <row r="168" ht="15.95" customHeight="1" x14ac:dyDescent="0.15"/>
    <row r="169" ht="15.95" customHeight="1" x14ac:dyDescent="0.15"/>
    <row r="170" ht="15.95" customHeight="1" x14ac:dyDescent="0.15"/>
    <row r="171" ht="15.95" customHeight="1" x14ac:dyDescent="0.15"/>
    <row r="172" ht="15.95" customHeight="1" x14ac:dyDescent="0.15"/>
    <row r="173" ht="15.95" customHeight="1" x14ac:dyDescent="0.15"/>
    <row r="174" ht="15.95" customHeight="1" x14ac:dyDescent="0.15"/>
    <row r="175" ht="15.95" customHeight="1" x14ac:dyDescent="0.15"/>
    <row r="176" ht="15.95" customHeight="1" x14ac:dyDescent="0.15"/>
    <row r="177" ht="15.95" customHeight="1" x14ac:dyDescent="0.15"/>
    <row r="178" ht="15.95" customHeight="1" x14ac:dyDescent="0.15"/>
    <row r="179" ht="15.95" customHeight="1" x14ac:dyDescent="0.15"/>
    <row r="180" ht="15.95" customHeight="1" x14ac:dyDescent="0.15"/>
    <row r="181" ht="15.95" customHeight="1" x14ac:dyDescent="0.15"/>
    <row r="182" ht="15.95" customHeight="1" x14ac:dyDescent="0.15"/>
    <row r="183" ht="15.95" customHeight="1" x14ac:dyDescent="0.15"/>
    <row r="184" ht="15.95" customHeight="1" x14ac:dyDescent="0.15"/>
    <row r="185" ht="15.95" customHeight="1" x14ac:dyDescent="0.15"/>
    <row r="186" ht="15.95" customHeight="1" x14ac:dyDescent="0.15"/>
    <row r="187" ht="15.95" customHeight="1" x14ac:dyDescent="0.15"/>
    <row r="188" ht="15.95" customHeight="1" x14ac:dyDescent="0.15"/>
    <row r="189" ht="15.95" customHeight="1" x14ac:dyDescent="0.15"/>
    <row r="190" ht="15.95" customHeight="1" x14ac:dyDescent="0.15"/>
    <row r="191" ht="15.95" customHeight="1" x14ac:dyDescent="0.15"/>
    <row r="192" ht="15.95" customHeight="1" x14ac:dyDescent="0.15"/>
    <row r="193" ht="15.95" customHeight="1" x14ac:dyDescent="0.15"/>
    <row r="194" ht="15.95" customHeight="1" x14ac:dyDescent="0.15"/>
    <row r="195" ht="15.95" customHeight="1" x14ac:dyDescent="0.15"/>
    <row r="196" ht="15.95" customHeight="1" x14ac:dyDescent="0.15"/>
    <row r="197" ht="15.95" customHeight="1" x14ac:dyDescent="0.15"/>
    <row r="198" ht="15.95" customHeight="1" x14ac:dyDescent="0.15"/>
    <row r="199" ht="15.95" customHeight="1" x14ac:dyDescent="0.15"/>
    <row r="200" ht="15.95" customHeight="1" x14ac:dyDescent="0.15"/>
    <row r="201" ht="15.95" customHeight="1" x14ac:dyDescent="0.15"/>
    <row r="202" ht="15.95" customHeight="1" x14ac:dyDescent="0.15"/>
    <row r="203" ht="15.95" customHeight="1" x14ac:dyDescent="0.15"/>
    <row r="204" ht="15.95" customHeight="1" x14ac:dyDescent="0.15"/>
    <row r="205" ht="15.95" customHeight="1" x14ac:dyDescent="0.15"/>
    <row r="206" ht="15.95" customHeight="1" x14ac:dyDescent="0.15"/>
  </sheetData>
  <sheetProtection password="EFA3" sheet="1" objects="1" scenarios="1" selectLockedCells="1"/>
  <mergeCells count="331">
    <mergeCell ref="B124:B125"/>
    <mergeCell ref="B128:B129"/>
    <mergeCell ref="B12:B13"/>
    <mergeCell ref="B84:B85"/>
    <mergeCell ref="B88:B89"/>
    <mergeCell ref="B92:B93"/>
    <mergeCell ref="B96:B97"/>
    <mergeCell ref="B100:B101"/>
    <mergeCell ref="B104:B105"/>
    <mergeCell ref="B108:B109"/>
    <mergeCell ref="B112:B113"/>
    <mergeCell ref="B116:B117"/>
    <mergeCell ref="B48:B49"/>
    <mergeCell ref="B52:B53"/>
    <mergeCell ref="B56:B57"/>
    <mergeCell ref="B60:B61"/>
    <mergeCell ref="B64:B65"/>
    <mergeCell ref="B68:B69"/>
    <mergeCell ref="B72:B73"/>
    <mergeCell ref="B76:B77"/>
    <mergeCell ref="B80:B81"/>
    <mergeCell ref="C14:D14"/>
    <mergeCell ref="E14:F14"/>
    <mergeCell ref="C5:D5"/>
    <mergeCell ref="E5:F5"/>
    <mergeCell ref="C6:D6"/>
    <mergeCell ref="E6:F6"/>
    <mergeCell ref="C7:D7"/>
    <mergeCell ref="E7:F7"/>
    <mergeCell ref="C8:D8"/>
    <mergeCell ref="E8:F8"/>
    <mergeCell ref="C9:D9"/>
    <mergeCell ref="E9:F9"/>
    <mergeCell ref="C15:D15"/>
    <mergeCell ref="E15:F15"/>
    <mergeCell ref="C16:D16"/>
    <mergeCell ref="E16:F16"/>
    <mergeCell ref="C17:D17"/>
    <mergeCell ref="E17:F17"/>
    <mergeCell ref="C18:D18"/>
    <mergeCell ref="E18:F18"/>
    <mergeCell ref="C19:D19"/>
    <mergeCell ref="E19:F19"/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2:D32"/>
    <mergeCell ref="E32:F32"/>
    <mergeCell ref="C33:D33"/>
    <mergeCell ref="E33:F33"/>
    <mergeCell ref="C34:D34"/>
    <mergeCell ref="E34:F34"/>
    <mergeCell ref="C35:D35"/>
    <mergeCell ref="E35:F35"/>
    <mergeCell ref="C36:D36"/>
    <mergeCell ref="E36:F36"/>
    <mergeCell ref="C37:D37"/>
    <mergeCell ref="E37:F37"/>
    <mergeCell ref="C38:D38"/>
    <mergeCell ref="E38:F38"/>
    <mergeCell ref="C39:D39"/>
    <mergeCell ref="E39:F39"/>
    <mergeCell ref="C40:D40"/>
    <mergeCell ref="E40:F40"/>
    <mergeCell ref="C41:D41"/>
    <mergeCell ref="E41:F41"/>
    <mergeCell ref="C42:D42"/>
    <mergeCell ref="E42:F42"/>
    <mergeCell ref="C43:D43"/>
    <mergeCell ref="E43:F43"/>
    <mergeCell ref="C44:D44"/>
    <mergeCell ref="E44:F44"/>
    <mergeCell ref="C45:D45"/>
    <mergeCell ref="E45:F45"/>
    <mergeCell ref="C46:D46"/>
    <mergeCell ref="E46:F46"/>
    <mergeCell ref="C47:D47"/>
    <mergeCell ref="E47:F47"/>
    <mergeCell ref="C48:D48"/>
    <mergeCell ref="E48:F48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C55:D55"/>
    <mergeCell ref="E55:F55"/>
    <mergeCell ref="C56:D56"/>
    <mergeCell ref="E56:F56"/>
    <mergeCell ref="C57:D57"/>
    <mergeCell ref="E57:F57"/>
    <mergeCell ref="C58:D58"/>
    <mergeCell ref="E58:F58"/>
    <mergeCell ref="C59:D59"/>
    <mergeCell ref="E59:F59"/>
    <mergeCell ref="C60:D60"/>
    <mergeCell ref="E60:F60"/>
    <mergeCell ref="C61:D61"/>
    <mergeCell ref="E61:F61"/>
    <mergeCell ref="C62:D62"/>
    <mergeCell ref="E62:F62"/>
    <mergeCell ref="C63:D63"/>
    <mergeCell ref="E63:F63"/>
    <mergeCell ref="C64:D64"/>
    <mergeCell ref="E64:F64"/>
    <mergeCell ref="C65:D65"/>
    <mergeCell ref="E65:F65"/>
    <mergeCell ref="C66:D66"/>
    <mergeCell ref="E66:F66"/>
    <mergeCell ref="C67:D67"/>
    <mergeCell ref="E67:F67"/>
    <mergeCell ref="C68:D68"/>
    <mergeCell ref="E68:F68"/>
    <mergeCell ref="C69:D69"/>
    <mergeCell ref="E69:F69"/>
    <mergeCell ref="C70:D70"/>
    <mergeCell ref="E70:F70"/>
    <mergeCell ref="C71:D71"/>
    <mergeCell ref="E71:F71"/>
    <mergeCell ref="C72:D72"/>
    <mergeCell ref="E72:F72"/>
    <mergeCell ref="C73:D73"/>
    <mergeCell ref="E73:F73"/>
    <mergeCell ref="C74:D74"/>
    <mergeCell ref="E74:F74"/>
    <mergeCell ref="C75:D75"/>
    <mergeCell ref="E75:F75"/>
    <mergeCell ref="C76:D76"/>
    <mergeCell ref="E76:F76"/>
    <mergeCell ref="C77:D77"/>
    <mergeCell ref="E77:F77"/>
    <mergeCell ref="C78:D78"/>
    <mergeCell ref="E78:F78"/>
    <mergeCell ref="C79:D79"/>
    <mergeCell ref="E79:F79"/>
    <mergeCell ref="C80:D80"/>
    <mergeCell ref="E80:F80"/>
    <mergeCell ref="C81:D81"/>
    <mergeCell ref="E81:F81"/>
    <mergeCell ref="C82:D82"/>
    <mergeCell ref="E82:F82"/>
    <mergeCell ref="C83:D83"/>
    <mergeCell ref="E83:F83"/>
    <mergeCell ref="C84:D84"/>
    <mergeCell ref="E84:F84"/>
    <mergeCell ref="C85:D85"/>
    <mergeCell ref="E85:F85"/>
    <mergeCell ref="C86:D86"/>
    <mergeCell ref="E86:F86"/>
    <mergeCell ref="C87:D87"/>
    <mergeCell ref="E87:F87"/>
    <mergeCell ref="C88:D88"/>
    <mergeCell ref="E88:F88"/>
    <mergeCell ref="C89:D89"/>
    <mergeCell ref="E89:F89"/>
    <mergeCell ref="C90:D90"/>
    <mergeCell ref="E90:F90"/>
    <mergeCell ref="C91:D91"/>
    <mergeCell ref="E91:F91"/>
    <mergeCell ref="C92:D92"/>
    <mergeCell ref="E92:F92"/>
    <mergeCell ref="C93:D93"/>
    <mergeCell ref="E93:F93"/>
    <mergeCell ref="C94:D94"/>
    <mergeCell ref="E94:F94"/>
    <mergeCell ref="C95:D95"/>
    <mergeCell ref="E95:F95"/>
    <mergeCell ref="C96:D96"/>
    <mergeCell ref="E96:F96"/>
    <mergeCell ref="C97:D97"/>
    <mergeCell ref="E97:F97"/>
    <mergeCell ref="C98:D98"/>
    <mergeCell ref="E98:F98"/>
    <mergeCell ref="C99:D99"/>
    <mergeCell ref="E99:F99"/>
    <mergeCell ref="C100:D100"/>
    <mergeCell ref="E100:F100"/>
    <mergeCell ref="C101:D101"/>
    <mergeCell ref="E101:F101"/>
    <mergeCell ref="C102:D102"/>
    <mergeCell ref="E102:F102"/>
    <mergeCell ref="C103:D103"/>
    <mergeCell ref="E103:F103"/>
    <mergeCell ref="C104:D104"/>
    <mergeCell ref="E104:F104"/>
    <mergeCell ref="C105:D105"/>
    <mergeCell ref="E105:F105"/>
    <mergeCell ref="C106:D106"/>
    <mergeCell ref="E106:F106"/>
    <mergeCell ref="C107:D107"/>
    <mergeCell ref="E107:F107"/>
    <mergeCell ref="C108:D108"/>
    <mergeCell ref="E108:F108"/>
    <mergeCell ref="C109:D109"/>
    <mergeCell ref="E109:F109"/>
    <mergeCell ref="C110:D110"/>
    <mergeCell ref="E110:F110"/>
    <mergeCell ref="C111:D111"/>
    <mergeCell ref="E111:F111"/>
    <mergeCell ref="C112:D112"/>
    <mergeCell ref="E112:F112"/>
    <mergeCell ref="C113:D113"/>
    <mergeCell ref="E113:F113"/>
    <mergeCell ref="C114:D114"/>
    <mergeCell ref="E114:F114"/>
    <mergeCell ref="C115:D115"/>
    <mergeCell ref="E115:F115"/>
    <mergeCell ref="C116:D116"/>
    <mergeCell ref="E116:F116"/>
    <mergeCell ref="C117:D117"/>
    <mergeCell ref="E117:F117"/>
    <mergeCell ref="C118:D118"/>
    <mergeCell ref="E118:F118"/>
    <mergeCell ref="C119:D119"/>
    <mergeCell ref="E119:F119"/>
    <mergeCell ref="C120:D120"/>
    <mergeCell ref="E120:F120"/>
    <mergeCell ref="C121:D121"/>
    <mergeCell ref="E121:F121"/>
    <mergeCell ref="C122:D122"/>
    <mergeCell ref="E122:F122"/>
    <mergeCell ref="C123:D123"/>
    <mergeCell ref="E123:F123"/>
    <mergeCell ref="C124:D124"/>
    <mergeCell ref="E124:F124"/>
    <mergeCell ref="C125:D125"/>
    <mergeCell ref="E125:F125"/>
    <mergeCell ref="C126:D126"/>
    <mergeCell ref="E126:F126"/>
    <mergeCell ref="C127:D127"/>
    <mergeCell ref="E127:F127"/>
    <mergeCell ref="C128:D128"/>
    <mergeCell ref="E128:F128"/>
    <mergeCell ref="C129:D129"/>
    <mergeCell ref="E129:F129"/>
    <mergeCell ref="C130:D130"/>
    <mergeCell ref="E130:F130"/>
    <mergeCell ref="B132:E132"/>
    <mergeCell ref="B133:E133"/>
    <mergeCell ref="B134:E134"/>
    <mergeCell ref="B135:E135"/>
    <mergeCell ref="F159:G159"/>
    <mergeCell ref="A7:A10"/>
    <mergeCell ref="A11:A14"/>
    <mergeCell ref="A15:A18"/>
    <mergeCell ref="A19:A22"/>
    <mergeCell ref="A23:A26"/>
    <mergeCell ref="A27:A30"/>
    <mergeCell ref="A35:A38"/>
    <mergeCell ref="A39:A42"/>
    <mergeCell ref="A43:A46"/>
    <mergeCell ref="A47:A50"/>
    <mergeCell ref="A51:A54"/>
    <mergeCell ref="A55:A58"/>
    <mergeCell ref="A59:A62"/>
    <mergeCell ref="A63:A66"/>
    <mergeCell ref="A67:A70"/>
    <mergeCell ref="A71:A74"/>
    <mergeCell ref="A75:A78"/>
    <mergeCell ref="A115:A118"/>
    <mergeCell ref="A119:A122"/>
    <mergeCell ref="A123:A126"/>
    <mergeCell ref="A127:A130"/>
    <mergeCell ref="A131:A142"/>
    <mergeCell ref="B7:B10"/>
    <mergeCell ref="B16:B17"/>
    <mergeCell ref="B20:B21"/>
    <mergeCell ref="B24:B25"/>
    <mergeCell ref="B28:B29"/>
    <mergeCell ref="B36:B37"/>
    <mergeCell ref="B40:B41"/>
    <mergeCell ref="A79:A82"/>
    <mergeCell ref="A83:A86"/>
    <mergeCell ref="A87:A90"/>
    <mergeCell ref="A91:A94"/>
    <mergeCell ref="A95:A98"/>
    <mergeCell ref="A99:A102"/>
    <mergeCell ref="A103:A106"/>
    <mergeCell ref="A107:A110"/>
    <mergeCell ref="A111:A114"/>
    <mergeCell ref="B32:B33"/>
    <mergeCell ref="B44:B45"/>
    <mergeCell ref="B120:B121"/>
    <mergeCell ref="H5:H6"/>
    <mergeCell ref="I5:I6"/>
    <mergeCell ref="N3:N6"/>
    <mergeCell ref="L3:M6"/>
    <mergeCell ref="A1:M2"/>
    <mergeCell ref="H3:I4"/>
    <mergeCell ref="L10:M13"/>
    <mergeCell ref="L8:M9"/>
    <mergeCell ref="G4:G6"/>
    <mergeCell ref="K8:K9"/>
    <mergeCell ref="C10:D10"/>
    <mergeCell ref="E10:F10"/>
    <mergeCell ref="C11:D11"/>
    <mergeCell ref="E11:F11"/>
    <mergeCell ref="C12:D12"/>
    <mergeCell ref="E12:F12"/>
    <mergeCell ref="C13:D13"/>
    <mergeCell ref="E13:F13"/>
    <mergeCell ref="K3:K4"/>
    <mergeCell ref="J3:J4"/>
  </mergeCells>
  <phoneticPr fontId="11" type="noConversion"/>
  <dataValidations count="3">
    <dataValidation type="whole" operator="notBetween" allowBlank="1" showInputMessage="1" showErrorMessage="1" errorTitle="超限" error="限差为-5mm～5mm" sqref="O12">
      <formula1>-5</formula1>
      <formula2>5</formula2>
    </dataValidation>
    <dataValidation type="whole" allowBlank="1" showInputMessage="1" showErrorMessage="1" sqref="Q12">
      <formula1>-5</formula1>
      <formula2>5</formula2>
    </dataValidation>
    <dataValidation type="whole" allowBlank="1" showInputMessage="1" showErrorMessage="1" errorTitle="超限" error="-5mm~5mm" sqref="O13">
      <formula1>-5</formula1>
      <formula2>5</formula2>
    </dataValidation>
  </dataValidations>
  <printOptions horizontalCentered="1" verticalCentered="1"/>
  <pageMargins left="0.196527777777778" right="0.196527777777778" top="0.196527777777778" bottom="0.196527777777778" header="0.196527777777778" footer="0.196527777777778"/>
  <pageSetup paperSize="9" orientation="portrait" horizontalDpi="300" verticalDpi="300" r:id="rId1"/>
  <headerFooter alignWithMargins="0">
    <oddFooter>&amp;L测量：&amp;C制表：&amp;R计算：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9"/>
  </sheetPr>
  <dimension ref="A1:K136"/>
  <sheetViews>
    <sheetView showZeros="0" zoomScale="130" zoomScaleNormal="130" workbookViewId="0">
      <pane ySplit="2" topLeftCell="A3" activePane="bottomLeft" state="frozen"/>
      <selection pane="bottomLeft" activeCell="E23" sqref="E23:E24"/>
    </sheetView>
  </sheetViews>
  <sheetFormatPr defaultColWidth="9" defaultRowHeight="14.25" x14ac:dyDescent="0.15"/>
  <cols>
    <col min="1" max="1" width="6.875" customWidth="1"/>
    <col min="2" max="2" width="9.875" customWidth="1"/>
    <col min="3" max="3" width="17.25" customWidth="1"/>
    <col min="4" max="4" width="14.375" customWidth="1"/>
    <col min="5" max="5" width="9.875" customWidth="1"/>
    <col min="6" max="6" width="11.375" customWidth="1"/>
    <col min="7" max="7" width="25.75" style="16" customWidth="1"/>
    <col min="8" max="8" width="9" hidden="1" customWidth="1"/>
    <col min="9" max="9" width="9.875" customWidth="1"/>
    <col min="10" max="10" width="8.75" customWidth="1"/>
    <col min="11" max="11" width="21.75" style="17" customWidth="1"/>
  </cols>
  <sheetData>
    <row r="1" spans="1:11" ht="21.75" customHeight="1" x14ac:dyDescent="0.15">
      <c r="A1" s="186" t="s">
        <v>55</v>
      </c>
      <c r="B1" s="186"/>
      <c r="C1" s="186"/>
      <c r="D1" s="186"/>
      <c r="E1" s="186"/>
      <c r="F1" s="186"/>
      <c r="G1" s="186"/>
      <c r="H1" s="18"/>
    </row>
    <row r="2" spans="1:11" ht="25.5" customHeight="1" x14ac:dyDescent="0.15">
      <c r="A2" s="19" t="s">
        <v>56</v>
      </c>
      <c r="B2" s="20" t="s">
        <v>57</v>
      </c>
      <c r="C2" s="21" t="s">
        <v>58</v>
      </c>
      <c r="D2" s="21" t="s">
        <v>59</v>
      </c>
      <c r="E2" s="21" t="s">
        <v>60</v>
      </c>
      <c r="F2" s="21" t="s">
        <v>61</v>
      </c>
      <c r="G2" s="22" t="s">
        <v>62</v>
      </c>
      <c r="H2" s="23" t="s">
        <v>63</v>
      </c>
    </row>
    <row r="3" spans="1:11" ht="16.5" customHeight="1" x14ac:dyDescent="0.15">
      <c r="A3" s="180">
        <v>1</v>
      </c>
      <c r="B3" s="25" t="s">
        <v>64</v>
      </c>
      <c r="C3" s="174">
        <v>0.82</v>
      </c>
      <c r="D3" s="175">
        <v>0.25</v>
      </c>
      <c r="E3" s="167">
        <f t="shared" ref="E3" ca="1" si="0">IF(RIGHT(H3)="5",IF(MOD(LEFT(RIGHT(H3*10,2)),2),H3+0.5,H3-0.5),ROUND(H3,0))</f>
        <v>4</v>
      </c>
      <c r="F3" s="161">
        <f t="shared" ref="F3" ca="1" si="1">D3+(E3/1000)</f>
        <v>0.254</v>
      </c>
      <c r="G3" s="27">
        <v>10</v>
      </c>
      <c r="H3" s="150">
        <f ca="1">ROUNDDOWN((-$D$84/$C$82)*C3,1)</f>
        <v>4</v>
      </c>
      <c r="I3" s="31"/>
      <c r="J3" s="31"/>
    </row>
    <row r="4" spans="1:11" ht="6.75" customHeight="1" x14ac:dyDescent="0.15">
      <c r="A4" s="180"/>
      <c r="B4" s="177" t="s">
        <v>65</v>
      </c>
      <c r="C4" s="174"/>
      <c r="D4" s="176"/>
      <c r="E4" s="168"/>
      <c r="F4" s="161"/>
      <c r="G4" s="165">
        <f ca="1">F3+G3</f>
        <v>10.254</v>
      </c>
      <c r="H4" s="150"/>
      <c r="I4" s="153"/>
      <c r="J4" s="32"/>
      <c r="K4" s="148"/>
    </row>
    <row r="5" spans="1:11" ht="6.75" customHeight="1" x14ac:dyDescent="0.15">
      <c r="A5" s="180">
        <v>2</v>
      </c>
      <c r="B5" s="104"/>
      <c r="C5" s="174">
        <v>0.54</v>
      </c>
      <c r="D5" s="175">
        <v>0.30199999999999999</v>
      </c>
      <c r="E5" s="167">
        <f ca="1">IF(RIGHT(H5)="5",IF(MOD(LEFT(RIGHT(H5*10,2)),2),H5+0.5,H5-0.5),ROUND(H5,0))</f>
        <v>3</v>
      </c>
      <c r="F5" s="161">
        <f ca="1">D5+(E5/1000)</f>
        <v>0.30499999999999999</v>
      </c>
      <c r="G5" s="166"/>
      <c r="H5" s="150">
        <f t="shared" ref="H5" ca="1" si="2">ROUNDDOWN((-$D$84/$C$82)*C5,1)</f>
        <v>2.6</v>
      </c>
      <c r="I5" s="147"/>
      <c r="J5" s="33"/>
      <c r="K5" s="148"/>
    </row>
    <row r="6" spans="1:11" ht="6.75" customHeight="1" x14ac:dyDescent="0.15">
      <c r="A6" s="180"/>
      <c r="B6" s="177" t="s">
        <v>66</v>
      </c>
      <c r="C6" s="174"/>
      <c r="D6" s="176"/>
      <c r="E6" s="168"/>
      <c r="F6" s="162"/>
      <c r="G6" s="165">
        <f ca="1">F5+G4</f>
        <v>10.558999999999999</v>
      </c>
      <c r="H6" s="150"/>
      <c r="I6" s="147"/>
      <c r="J6" s="33"/>
      <c r="K6" s="148"/>
    </row>
    <row r="7" spans="1:11" ht="6.75" customHeight="1" x14ac:dyDescent="0.15">
      <c r="A7" s="180">
        <v>3</v>
      </c>
      <c r="B7" s="104"/>
      <c r="C7" s="174">
        <v>1.24</v>
      </c>
      <c r="D7" s="175">
        <v>-0.47199999999999998</v>
      </c>
      <c r="E7" s="167">
        <f ca="1">IF(RIGHT(H7)="5",IF(MOD(LEFT(RIGHT(H7*10,2)),2),H7+0.5,H7-0.5),ROUND(H7,0))</f>
        <v>6</v>
      </c>
      <c r="F7" s="161">
        <f ca="1">D7+(E7/1000)</f>
        <v>-0.46599999999999997</v>
      </c>
      <c r="G7" s="166"/>
      <c r="H7" s="150">
        <f t="shared" ref="H7" ca="1" si="3">ROUNDDOWN((-$D$84/$C$82)*C7,1)</f>
        <v>6.1</v>
      </c>
      <c r="I7" s="147"/>
      <c r="J7" s="33"/>
      <c r="K7" s="148"/>
    </row>
    <row r="8" spans="1:11" ht="6.75" customHeight="1" x14ac:dyDescent="0.15">
      <c r="A8" s="180"/>
      <c r="B8" s="177" t="s">
        <v>67</v>
      </c>
      <c r="C8" s="174"/>
      <c r="D8" s="176"/>
      <c r="E8" s="168"/>
      <c r="F8" s="162"/>
      <c r="G8" s="165">
        <f ca="1">F7+G6</f>
        <v>10.093</v>
      </c>
      <c r="H8" s="150"/>
      <c r="I8" s="153"/>
      <c r="J8" s="33"/>
      <c r="K8" s="148"/>
    </row>
    <row r="9" spans="1:11" ht="6.75" customHeight="1" x14ac:dyDescent="0.15">
      <c r="A9" s="180">
        <v>4</v>
      </c>
      <c r="B9" s="104"/>
      <c r="C9" s="174">
        <v>1.4</v>
      </c>
      <c r="D9" s="174">
        <v>-0.35699999999999998</v>
      </c>
      <c r="E9" s="167">
        <f t="shared" ref="E9" ca="1" si="4">IF(RIGHT(H9)="5",IF(MOD(LEFT(RIGHT(H9*10,2)),2),H9+0.5,H9-0.5),ROUND(H9,0))</f>
        <v>7</v>
      </c>
      <c r="F9" s="161">
        <f t="shared" ref="F9" ca="1" si="5">D9+(E9/1000)</f>
        <v>-0.35</v>
      </c>
      <c r="G9" s="166"/>
      <c r="H9" s="150">
        <f ca="1">ROUNDDOWN((-$D$84/$C$82)*C9,1)</f>
        <v>6.9</v>
      </c>
      <c r="I9" s="147"/>
      <c r="J9" s="33"/>
      <c r="K9" s="148"/>
    </row>
    <row r="10" spans="1:11" ht="6.75" customHeight="1" x14ac:dyDescent="0.15">
      <c r="A10" s="180"/>
      <c r="B10" s="177"/>
      <c r="C10" s="174"/>
      <c r="D10" s="174"/>
      <c r="E10" s="168"/>
      <c r="F10" s="162"/>
      <c r="G10" s="159">
        <v>9.7430000000000003</v>
      </c>
      <c r="H10" s="150"/>
      <c r="I10" s="147"/>
      <c r="J10" s="33"/>
    </row>
    <row r="11" spans="1:11" ht="6.75" customHeight="1" x14ac:dyDescent="0.15">
      <c r="A11" s="180">
        <v>5</v>
      </c>
      <c r="B11" s="104"/>
      <c r="C11" s="174"/>
      <c r="D11" s="174"/>
      <c r="E11" s="167">
        <f ca="1">IF(RIGHT(H11)="5",IF(MOD(LEFT(RIGHT(H11*10,2)),2),H11+0.5,H11-0.5),ROUND(H11,0))</f>
        <v>0</v>
      </c>
      <c r="F11" s="161">
        <f t="shared" ref="F11" ca="1" si="6">D11+(E11/1000)</f>
        <v>0</v>
      </c>
      <c r="G11" s="160"/>
      <c r="H11" s="150">
        <f ca="1">ROUNDDOWN((-$D$84/$C$82)*C11,1)</f>
        <v>0</v>
      </c>
      <c r="I11" s="147"/>
      <c r="J11" s="33"/>
    </row>
    <row r="12" spans="1:11" ht="6.75" customHeight="1" x14ac:dyDescent="0.15">
      <c r="A12" s="180"/>
      <c r="B12" s="177"/>
      <c r="C12" s="174"/>
      <c r="D12" s="174"/>
      <c r="E12" s="168"/>
      <c r="F12" s="162"/>
      <c r="G12" s="159"/>
      <c r="H12" s="150"/>
      <c r="I12" s="149"/>
      <c r="J12" s="34"/>
    </row>
    <row r="13" spans="1:11" ht="6.75" customHeight="1" x14ac:dyDescent="0.15">
      <c r="A13" s="180">
        <v>6</v>
      </c>
      <c r="B13" s="104"/>
      <c r="C13" s="174"/>
      <c r="D13" s="174"/>
      <c r="E13" s="167">
        <f t="shared" ref="E13" ca="1" si="7">IF(RIGHT(H13)="5",IF(MOD(LEFT(RIGHT(H13*10,2)),2),H13+0.5,H13-0.5),ROUND(H13,0))</f>
        <v>0</v>
      </c>
      <c r="F13" s="161">
        <f t="shared" ref="F13" ca="1" si="8">D13+(E13/1000)</f>
        <v>0</v>
      </c>
      <c r="G13" s="160"/>
      <c r="H13" s="150">
        <f ca="1">ROUNDDOWN((-$D$84/$C$82)*C13,1)</f>
        <v>0</v>
      </c>
      <c r="I13" s="147"/>
      <c r="J13" s="33"/>
    </row>
    <row r="14" spans="1:11" ht="6.75" customHeight="1" x14ac:dyDescent="0.15">
      <c r="A14" s="180"/>
      <c r="B14" s="177"/>
      <c r="C14" s="174"/>
      <c r="D14" s="174"/>
      <c r="E14" s="168"/>
      <c r="F14" s="162"/>
      <c r="G14" s="165">
        <f t="shared" ref="G14" ca="1" si="9">F13+G13</f>
        <v>0</v>
      </c>
      <c r="H14" s="150"/>
      <c r="I14" s="154"/>
      <c r="J14" s="33"/>
    </row>
    <row r="15" spans="1:11" ht="6.75" customHeight="1" x14ac:dyDescent="0.15">
      <c r="A15" s="180">
        <v>7</v>
      </c>
      <c r="B15" s="104"/>
      <c r="C15" s="174"/>
      <c r="D15" s="174"/>
      <c r="E15" s="167">
        <f ca="1">IF(RIGHT(H15)="5",IF(MOD(LEFT(RIGHT(H15*10,2)),2),H15+0.5,H15-0.5),ROUND(H15,0))</f>
        <v>0</v>
      </c>
      <c r="F15" s="161">
        <f t="shared" ref="F15" ca="1" si="10">D15+(E15/1000)</f>
        <v>0</v>
      </c>
      <c r="G15" s="166"/>
      <c r="H15" s="150">
        <f ca="1">ROUNDDOWN((-$D$84/$C$82)*C15,1)</f>
        <v>0</v>
      </c>
      <c r="I15" s="155"/>
      <c r="J15" s="33"/>
    </row>
    <row r="16" spans="1:11" ht="6.75" customHeight="1" x14ac:dyDescent="0.15">
      <c r="A16" s="180"/>
      <c r="B16" s="177"/>
      <c r="C16" s="174"/>
      <c r="D16" s="174"/>
      <c r="E16" s="168"/>
      <c r="F16" s="162"/>
      <c r="G16" s="165">
        <f t="shared" ref="G16" ca="1" si="11">F15+G15</f>
        <v>0</v>
      </c>
      <c r="H16" s="150"/>
      <c r="I16" s="149"/>
      <c r="J16" s="34"/>
    </row>
    <row r="17" spans="1:10" ht="6.75" customHeight="1" x14ac:dyDescent="0.15">
      <c r="A17" s="180">
        <v>8</v>
      </c>
      <c r="B17" s="104"/>
      <c r="C17" s="174"/>
      <c r="D17" s="174"/>
      <c r="E17" s="167">
        <f ca="1">IF(RIGHT(H17)="5",IF(MOD(LEFT(RIGHT(H17*10,2)),2),H17+0.5,H17-0.5),ROUND(H17,0))</f>
        <v>0</v>
      </c>
      <c r="F17" s="161">
        <f t="shared" ref="F17" ca="1" si="12">D17+(E17/1000)</f>
        <v>0</v>
      </c>
      <c r="G17" s="166"/>
      <c r="H17" s="150">
        <f ca="1">ROUNDDOWN((-$D$84/$C$82)*C17,1)</f>
        <v>0</v>
      </c>
      <c r="I17" s="147"/>
      <c r="J17" s="33"/>
    </row>
    <row r="18" spans="1:10" ht="6.75" customHeight="1" x14ac:dyDescent="0.15">
      <c r="A18" s="180"/>
      <c r="B18" s="177"/>
      <c r="C18" s="174"/>
      <c r="D18" s="174"/>
      <c r="E18" s="168"/>
      <c r="F18" s="162"/>
      <c r="G18" s="165">
        <f t="shared" ref="G18" ca="1" si="13">F17+G17</f>
        <v>0</v>
      </c>
      <c r="H18" s="150"/>
      <c r="I18" s="147"/>
      <c r="J18" s="33"/>
    </row>
    <row r="19" spans="1:10" ht="6.75" customHeight="1" x14ac:dyDescent="0.15">
      <c r="A19" s="180">
        <v>9</v>
      </c>
      <c r="B19" s="104"/>
      <c r="C19" s="174"/>
      <c r="D19" s="174"/>
      <c r="E19" s="167">
        <f ca="1">IF(RIGHT(H19)="5",IF(MOD(LEFT(RIGHT(H19*10,2)),2),H19+0.5,H19-0.5),ROUND(H19,0))</f>
        <v>0</v>
      </c>
      <c r="F19" s="161">
        <f t="shared" ref="F19" ca="1" si="14">D19+(E19/1000)</f>
        <v>0</v>
      </c>
      <c r="G19" s="166"/>
      <c r="H19" s="150">
        <f ca="1">ROUNDDOWN((-$D$84/$C$82)*C19,1)</f>
        <v>0</v>
      </c>
      <c r="I19" s="147"/>
      <c r="J19" s="33"/>
    </row>
    <row r="20" spans="1:10" ht="6.75" customHeight="1" x14ac:dyDescent="0.15">
      <c r="A20" s="180"/>
      <c r="B20" s="177"/>
      <c r="C20" s="174"/>
      <c r="D20" s="174"/>
      <c r="E20" s="168"/>
      <c r="F20" s="162"/>
      <c r="G20" s="165">
        <f t="shared" ref="G20" ca="1" si="15">F19+G19</f>
        <v>0</v>
      </c>
      <c r="H20" s="150"/>
      <c r="I20" s="149"/>
      <c r="J20" s="34"/>
    </row>
    <row r="21" spans="1:10" ht="6.75" customHeight="1" x14ac:dyDescent="0.15">
      <c r="A21" s="180">
        <v>10</v>
      </c>
      <c r="B21" s="104"/>
      <c r="C21" s="174"/>
      <c r="D21" s="174"/>
      <c r="E21" s="167">
        <f ca="1">IF(RIGHT(H21)="5",IF(MOD(LEFT(RIGHT(H21*10,2)),2),H21+0.5,H21-0.5),ROUND(H21,0))</f>
        <v>0</v>
      </c>
      <c r="F21" s="161">
        <f t="shared" ref="F21" ca="1" si="16">D21+(E21/1000)</f>
        <v>0</v>
      </c>
      <c r="G21" s="166"/>
      <c r="H21" s="150">
        <f ca="1">ROUNDDOWN((-$D$84/$C$82)*C21,1)</f>
        <v>0</v>
      </c>
      <c r="I21" s="147"/>
      <c r="J21" s="33"/>
    </row>
    <row r="22" spans="1:10" ht="6.75" customHeight="1" x14ac:dyDescent="0.15">
      <c r="A22" s="180"/>
      <c r="B22" s="177"/>
      <c r="C22" s="174"/>
      <c r="D22" s="174"/>
      <c r="E22" s="168"/>
      <c r="F22" s="162"/>
      <c r="G22" s="165">
        <f ca="1">F21+G21</f>
        <v>0</v>
      </c>
      <c r="H22" s="150"/>
      <c r="I22" s="147"/>
      <c r="J22" s="33"/>
    </row>
    <row r="23" spans="1:10" ht="6.75" customHeight="1" x14ac:dyDescent="0.15">
      <c r="A23" s="180">
        <v>11</v>
      </c>
      <c r="B23" s="104"/>
      <c r="C23" s="174"/>
      <c r="D23" s="173"/>
      <c r="E23" s="167">
        <f ca="1">IF(RIGHT(H23)="5",IF(MOD(LEFT(RIGHT(H23*10,2)),2),H23+0.5,H23-0.5),ROUND(H23,0))</f>
        <v>0</v>
      </c>
      <c r="F23" s="161">
        <f t="shared" ref="F23" ca="1" si="17">D23+(E23/1000)</f>
        <v>0</v>
      </c>
      <c r="G23" s="166"/>
      <c r="H23" s="150">
        <f ca="1">ROUNDDOWN((-$D$84/$C$82)*C23,1)</f>
        <v>0</v>
      </c>
      <c r="I23" s="147"/>
      <c r="J23" s="33"/>
    </row>
    <row r="24" spans="1:10" ht="6.75" customHeight="1" x14ac:dyDescent="0.15">
      <c r="A24" s="180"/>
      <c r="B24" s="177"/>
      <c r="C24" s="174"/>
      <c r="D24" s="173"/>
      <c r="E24" s="168"/>
      <c r="F24" s="162"/>
      <c r="G24" s="165">
        <f ca="1">F23+G23</f>
        <v>0</v>
      </c>
      <c r="H24" s="150"/>
      <c r="I24" s="149"/>
      <c r="J24" s="34"/>
    </row>
    <row r="25" spans="1:10" ht="6.75" customHeight="1" x14ac:dyDescent="0.15">
      <c r="A25" s="180">
        <v>12</v>
      </c>
      <c r="B25" s="104"/>
      <c r="C25" s="174"/>
      <c r="D25" s="173"/>
      <c r="E25" s="167">
        <f ca="1">IF(RIGHT(H25)="5",IF(MOD(LEFT(RIGHT(H25*10,2)),2),H25+0.5,H25-0.5),ROUND(H25,0))</f>
        <v>0</v>
      </c>
      <c r="F25" s="161">
        <f t="shared" ref="F25" ca="1" si="18">D25+(E25/1000)</f>
        <v>0</v>
      </c>
      <c r="G25" s="166"/>
      <c r="H25" s="150">
        <f ca="1">ROUNDDOWN((-$D$84/$C$82)*C25,1)</f>
        <v>0</v>
      </c>
      <c r="I25" s="147"/>
      <c r="J25" s="33"/>
    </row>
    <row r="26" spans="1:10" ht="6.75" customHeight="1" x14ac:dyDescent="0.15">
      <c r="A26" s="180"/>
      <c r="B26" s="177"/>
      <c r="C26" s="174"/>
      <c r="D26" s="173"/>
      <c r="E26" s="168"/>
      <c r="F26" s="162"/>
      <c r="G26" s="165">
        <f ca="1">F25+G25</f>
        <v>0</v>
      </c>
      <c r="H26" s="150"/>
      <c r="I26" s="147"/>
      <c r="J26" s="33"/>
    </row>
    <row r="27" spans="1:10" ht="6.75" customHeight="1" x14ac:dyDescent="0.15">
      <c r="A27" s="180">
        <v>13</v>
      </c>
      <c r="B27" s="104"/>
      <c r="C27" s="174"/>
      <c r="D27" s="173"/>
      <c r="E27" s="167">
        <f ca="1">IF(RIGHT(H27)="5",IF(MOD(LEFT(RIGHT(H27*10,2)),2),H27+0.5,H27-0.5),ROUND(H27,0))</f>
        <v>0</v>
      </c>
      <c r="F27" s="161">
        <f t="shared" ref="F27" ca="1" si="19">D27+(E27/1000)</f>
        <v>0</v>
      </c>
      <c r="G27" s="166"/>
      <c r="H27" s="150">
        <f ca="1">ROUNDDOWN((-$D$84/$C$82)*C27,1)</f>
        <v>0</v>
      </c>
      <c r="I27" s="147"/>
      <c r="J27" s="33"/>
    </row>
    <row r="28" spans="1:10" ht="6.75" customHeight="1" x14ac:dyDescent="0.15">
      <c r="A28" s="180"/>
      <c r="B28" s="177"/>
      <c r="C28" s="174"/>
      <c r="D28" s="173"/>
      <c r="E28" s="168"/>
      <c r="F28" s="162"/>
      <c r="G28" s="158">
        <f t="shared" ref="G28" ca="1" si="20">G27+F27</f>
        <v>0</v>
      </c>
      <c r="H28" s="150"/>
      <c r="I28" s="149"/>
      <c r="J28" s="34"/>
    </row>
    <row r="29" spans="1:10" ht="6.75" customHeight="1" x14ac:dyDescent="0.15">
      <c r="A29" s="180">
        <v>14</v>
      </c>
      <c r="B29" s="104"/>
      <c r="C29" s="174"/>
      <c r="D29" s="173"/>
      <c r="E29" s="167">
        <f ca="1">IF(RIGHT(H29)="5",IF(MOD(LEFT(RIGHT(H29*10,2)),2),H29+0.5,H29-0.5),ROUND(H29,0))</f>
        <v>0</v>
      </c>
      <c r="F29" s="161">
        <f t="shared" ref="F29" ca="1" si="21">D29+(E29/1000)</f>
        <v>0</v>
      </c>
      <c r="G29" s="158"/>
      <c r="H29" s="150">
        <f ca="1">ROUNDDOWN((-$D$84/$C$82)*C29,1)</f>
        <v>0</v>
      </c>
      <c r="I29" s="147"/>
      <c r="J29" s="33"/>
    </row>
    <row r="30" spans="1:10" ht="6.75" customHeight="1" x14ac:dyDescent="0.15">
      <c r="A30" s="180"/>
      <c r="B30" s="177"/>
      <c r="C30" s="174"/>
      <c r="D30" s="173"/>
      <c r="E30" s="168"/>
      <c r="F30" s="162"/>
      <c r="G30" s="158">
        <f t="shared" ref="G30" ca="1" si="22">G29+F29</f>
        <v>0</v>
      </c>
      <c r="H30" s="150"/>
      <c r="I30" s="147"/>
      <c r="J30" s="33"/>
    </row>
    <row r="31" spans="1:10" ht="6.75" customHeight="1" x14ac:dyDescent="0.15">
      <c r="A31" s="180">
        <v>15</v>
      </c>
      <c r="B31" s="104"/>
      <c r="C31" s="174"/>
      <c r="D31" s="173"/>
      <c r="E31" s="167">
        <f ca="1">IF(RIGHT(H31)="5",IF(MOD(LEFT(RIGHT(H31*10,2)),2),H31+0.5,H31-0.5),ROUND(H31,0))</f>
        <v>0</v>
      </c>
      <c r="F31" s="161">
        <f t="shared" ref="F31" ca="1" si="23">D31+(E31/1000)</f>
        <v>0</v>
      </c>
      <c r="G31" s="158"/>
      <c r="H31" s="150">
        <f ca="1">ROUNDDOWN((-$D$84/$C$82)*C31,1)</f>
        <v>0</v>
      </c>
      <c r="I31" s="147"/>
      <c r="J31" s="33"/>
    </row>
    <row r="32" spans="1:10" ht="6.75" customHeight="1" x14ac:dyDescent="0.15">
      <c r="A32" s="180"/>
      <c r="B32" s="177"/>
      <c r="C32" s="174"/>
      <c r="D32" s="173"/>
      <c r="E32" s="168"/>
      <c r="F32" s="162"/>
      <c r="G32" s="158">
        <f t="shared" ref="G32" ca="1" si="24">G31+F31</f>
        <v>0</v>
      </c>
      <c r="H32" s="150"/>
      <c r="I32" s="149"/>
      <c r="J32" s="34"/>
    </row>
    <row r="33" spans="1:10" ht="6.75" customHeight="1" x14ac:dyDescent="0.15">
      <c r="A33" s="180">
        <v>16</v>
      </c>
      <c r="B33" s="104"/>
      <c r="C33" s="174"/>
      <c r="D33" s="173"/>
      <c r="E33" s="167">
        <f ca="1">IF(RIGHT(H33)="5",IF(MOD(LEFT(RIGHT(H33*10,2)),2),H33+0.5,H33-0.5),ROUND(H33,0))</f>
        <v>0</v>
      </c>
      <c r="F33" s="161">
        <f t="shared" ref="F33" ca="1" si="25">D33+(E33/1000)</f>
        <v>0</v>
      </c>
      <c r="G33" s="158"/>
      <c r="H33" s="150">
        <f ca="1">ROUNDDOWN((-$D$84/$C$82)*C33,1)</f>
        <v>0</v>
      </c>
      <c r="I33" s="147"/>
      <c r="J33" s="33"/>
    </row>
    <row r="34" spans="1:10" ht="6.75" customHeight="1" x14ac:dyDescent="0.15">
      <c r="A34" s="180"/>
      <c r="B34" s="177"/>
      <c r="C34" s="174"/>
      <c r="D34" s="173"/>
      <c r="E34" s="168"/>
      <c r="F34" s="162"/>
      <c r="G34" s="158">
        <f t="shared" ref="G34" ca="1" si="26">G33+F33</f>
        <v>0</v>
      </c>
      <c r="H34" s="150"/>
      <c r="I34" s="147"/>
      <c r="J34" s="33"/>
    </row>
    <row r="35" spans="1:10" ht="6.75" customHeight="1" x14ac:dyDescent="0.15">
      <c r="A35" s="180">
        <v>17</v>
      </c>
      <c r="B35" s="104"/>
      <c r="C35" s="174"/>
      <c r="D35" s="173"/>
      <c r="E35" s="167">
        <f ca="1">IF(RIGHT(H35)="5",IF(MOD(LEFT(RIGHT(H35*10,2)),2),H35+0.5,H35-0.5),ROUND(H35,0))</f>
        <v>0</v>
      </c>
      <c r="F35" s="161">
        <f t="shared" ref="F35" ca="1" si="27">D35+(E35/1000)</f>
        <v>0</v>
      </c>
      <c r="G35" s="158"/>
      <c r="H35" s="150">
        <f ca="1">ROUNDDOWN((-$D$84/$C$82)*C35,1)</f>
        <v>0</v>
      </c>
      <c r="I35" s="147"/>
      <c r="J35" s="33"/>
    </row>
    <row r="36" spans="1:10" ht="6.75" customHeight="1" x14ac:dyDescent="0.15">
      <c r="A36" s="180"/>
      <c r="B36" s="177"/>
      <c r="C36" s="174"/>
      <c r="D36" s="173"/>
      <c r="E36" s="168"/>
      <c r="F36" s="162"/>
      <c r="G36" s="158">
        <f t="shared" ref="G36" ca="1" si="28">G35+F35</f>
        <v>0</v>
      </c>
      <c r="H36" s="150"/>
      <c r="I36" s="149"/>
      <c r="J36" s="34"/>
    </row>
    <row r="37" spans="1:10" ht="6.75" customHeight="1" x14ac:dyDescent="0.15">
      <c r="A37" s="180">
        <v>18</v>
      </c>
      <c r="B37" s="104"/>
      <c r="C37" s="174"/>
      <c r="D37" s="104"/>
      <c r="E37" s="167">
        <f ca="1">IF(RIGHT(H37)="5",IF(MOD(LEFT(RIGHT(H37*10,2)),2),H37+0.5,H37-0.5),ROUND(H37,0))</f>
        <v>0</v>
      </c>
      <c r="F37" s="161">
        <f t="shared" ref="F37" ca="1" si="29">D37+(E37/1000)</f>
        <v>0</v>
      </c>
      <c r="G37" s="158"/>
      <c r="H37" s="150">
        <f ca="1">ROUNDDOWN((-$D$84/$C$82)*C37,1)</f>
        <v>0</v>
      </c>
      <c r="I37" s="147"/>
      <c r="J37" s="33"/>
    </row>
    <row r="38" spans="1:10" ht="6.75" customHeight="1" x14ac:dyDescent="0.15">
      <c r="A38" s="180"/>
      <c r="B38" s="177"/>
      <c r="C38" s="174"/>
      <c r="D38" s="104"/>
      <c r="E38" s="168"/>
      <c r="F38" s="162"/>
      <c r="G38" s="158">
        <f t="shared" ref="G38" ca="1" si="30">G37+F37</f>
        <v>0</v>
      </c>
      <c r="H38" s="150"/>
      <c r="I38" s="147"/>
      <c r="J38" s="33"/>
    </row>
    <row r="39" spans="1:10" ht="6.75" customHeight="1" x14ac:dyDescent="0.15">
      <c r="A39" s="180">
        <v>19</v>
      </c>
      <c r="B39" s="104"/>
      <c r="C39" s="174"/>
      <c r="D39" s="173"/>
      <c r="E39" s="167">
        <f ca="1">IF(RIGHT(H39)="5",IF(MOD(LEFT(RIGHT(H39*10,2)),2),H39+0.5,H39-0.5),ROUND(H39,0))</f>
        <v>0</v>
      </c>
      <c r="F39" s="161">
        <f t="shared" ref="F39" ca="1" si="31">D39+(E39/1000)</f>
        <v>0</v>
      </c>
      <c r="G39" s="158"/>
      <c r="H39" s="150">
        <f ca="1">ROUNDDOWN((-$D$84/$C$82)*C39,1)</f>
        <v>0</v>
      </c>
      <c r="I39" s="147"/>
      <c r="J39" s="33"/>
    </row>
    <row r="40" spans="1:10" ht="6.75" customHeight="1" x14ac:dyDescent="0.15">
      <c r="A40" s="180"/>
      <c r="B40" s="177"/>
      <c r="C40" s="174"/>
      <c r="D40" s="173"/>
      <c r="E40" s="168"/>
      <c r="F40" s="162"/>
      <c r="G40" s="158">
        <f t="shared" ref="G40" ca="1" si="32">G39+F39</f>
        <v>0</v>
      </c>
      <c r="H40" s="150"/>
      <c r="I40" s="149"/>
      <c r="J40" s="34"/>
    </row>
    <row r="41" spans="1:10" ht="6.75" customHeight="1" x14ac:dyDescent="0.15">
      <c r="A41" s="180">
        <v>20</v>
      </c>
      <c r="B41" s="104"/>
      <c r="C41" s="174"/>
      <c r="D41" s="173"/>
      <c r="E41" s="167">
        <f ca="1">IF(RIGHT(H41)="5",IF(MOD(LEFT(RIGHT(H41*10,2)),2),H41+0.5,H41-0.5),ROUND(H41,0))</f>
        <v>0</v>
      </c>
      <c r="F41" s="161">
        <f t="shared" ref="F41" ca="1" si="33">D41+(E41/1000)</f>
        <v>0</v>
      </c>
      <c r="G41" s="158"/>
      <c r="H41" s="150">
        <f ca="1">ROUNDDOWN((-$D$84/$C$82)*C41,1)</f>
        <v>0</v>
      </c>
      <c r="I41" s="147"/>
      <c r="J41" s="33"/>
    </row>
    <row r="42" spans="1:10" ht="6.75" customHeight="1" x14ac:dyDescent="0.15">
      <c r="A42" s="180"/>
      <c r="B42" s="177"/>
      <c r="C42" s="174"/>
      <c r="D42" s="173"/>
      <c r="E42" s="168"/>
      <c r="F42" s="162"/>
      <c r="G42" s="158">
        <f t="shared" ref="G42" ca="1" si="34">G41+F41</f>
        <v>0</v>
      </c>
      <c r="H42" s="150"/>
      <c r="I42" s="147"/>
      <c r="J42" s="33"/>
    </row>
    <row r="43" spans="1:10" ht="6.75" customHeight="1" x14ac:dyDescent="0.15">
      <c r="A43" s="180">
        <v>21</v>
      </c>
      <c r="B43" s="104"/>
      <c r="C43" s="174"/>
      <c r="D43" s="173"/>
      <c r="E43" s="167">
        <f ca="1">IF(RIGHT(H43)="5",IF(MOD(LEFT(RIGHT(H43*10,2)),2),H43+0.5,H43-0.5),ROUND(H43,0))</f>
        <v>0</v>
      </c>
      <c r="F43" s="161">
        <f t="shared" ref="F43" ca="1" si="35">D43+(E43/1000)</f>
        <v>0</v>
      </c>
      <c r="G43" s="158"/>
      <c r="H43" s="150">
        <f ca="1">ROUNDDOWN((-$D$84/$C$82)*C43,1)</f>
        <v>0</v>
      </c>
      <c r="I43" s="147"/>
      <c r="J43" s="33"/>
    </row>
    <row r="44" spans="1:10" ht="6.75" customHeight="1" x14ac:dyDescent="0.15">
      <c r="A44" s="180"/>
      <c r="B44" s="177"/>
      <c r="C44" s="174"/>
      <c r="D44" s="173"/>
      <c r="E44" s="168"/>
      <c r="F44" s="162"/>
      <c r="G44" s="158">
        <f t="shared" ref="G44" ca="1" si="36">G43+F43</f>
        <v>0</v>
      </c>
      <c r="H44" s="150"/>
      <c r="I44" s="149"/>
      <c r="J44" s="34"/>
    </row>
    <row r="45" spans="1:10" ht="6.75" customHeight="1" x14ac:dyDescent="0.15">
      <c r="A45" s="180">
        <v>22</v>
      </c>
      <c r="B45" s="104"/>
      <c r="C45" s="174"/>
      <c r="D45" s="173"/>
      <c r="E45" s="167">
        <f ca="1">IF(RIGHT(H45)="5",IF(MOD(LEFT(RIGHT(H45*10,2)),2),H45+0.5,H45-0.5),ROUND(H45,0))</f>
        <v>0</v>
      </c>
      <c r="F45" s="161">
        <f t="shared" ref="F45" ca="1" si="37">D45+(E45/1000)</f>
        <v>0</v>
      </c>
      <c r="G45" s="158"/>
      <c r="H45" s="150">
        <f ca="1">ROUNDDOWN((-$D$84/$C$82)*C45,1)</f>
        <v>0</v>
      </c>
      <c r="I45" s="147"/>
      <c r="J45" s="33"/>
    </row>
    <row r="46" spans="1:10" ht="6.75" customHeight="1" x14ac:dyDescent="0.15">
      <c r="A46" s="180"/>
      <c r="B46" s="177"/>
      <c r="C46" s="174"/>
      <c r="D46" s="173"/>
      <c r="E46" s="168"/>
      <c r="F46" s="162"/>
      <c r="G46" s="158">
        <f t="shared" ref="G46" ca="1" si="38">G45+F45</f>
        <v>0</v>
      </c>
      <c r="H46" s="150"/>
      <c r="I46" s="147"/>
      <c r="J46" s="33"/>
    </row>
    <row r="47" spans="1:10" ht="6.75" customHeight="1" x14ac:dyDescent="0.15">
      <c r="A47" s="180">
        <v>23</v>
      </c>
      <c r="B47" s="104"/>
      <c r="C47" s="174"/>
      <c r="D47" s="173"/>
      <c r="E47" s="167">
        <f ca="1">IF(RIGHT(H47)="5",IF(MOD(LEFT(RIGHT(H47*10,2)),2),H47+0.5,H47-0.5),ROUND(H47,0))</f>
        <v>0</v>
      </c>
      <c r="F47" s="161">
        <f t="shared" ref="F47" ca="1" si="39">D47+(E47/1000)</f>
        <v>0</v>
      </c>
      <c r="G47" s="158"/>
      <c r="H47" s="150">
        <f ca="1">ROUNDDOWN((-$D$84/$C$82)*C47,1)</f>
        <v>0</v>
      </c>
      <c r="I47" s="147"/>
      <c r="J47" s="33"/>
    </row>
    <row r="48" spans="1:10" ht="6.75" customHeight="1" x14ac:dyDescent="0.15">
      <c r="A48" s="180"/>
      <c r="B48" s="177"/>
      <c r="C48" s="174"/>
      <c r="D48" s="173"/>
      <c r="E48" s="168"/>
      <c r="F48" s="162"/>
      <c r="G48" s="158">
        <f t="shared" ref="G48" ca="1" si="40">G47+F47</f>
        <v>0</v>
      </c>
      <c r="H48" s="150"/>
      <c r="I48" s="149"/>
      <c r="J48" s="34"/>
    </row>
    <row r="49" spans="1:11" ht="6.75" customHeight="1" x14ac:dyDescent="0.15">
      <c r="A49" s="180">
        <v>24</v>
      </c>
      <c r="B49" s="104"/>
      <c r="C49" s="174"/>
      <c r="D49" s="104"/>
      <c r="E49" s="167">
        <f ca="1">IF(RIGHT(H49)="5",IF(MOD(LEFT(RIGHT(H49*10,2)),2),H49+0.5,H49-0.5),ROUND(H49,0))</f>
        <v>0</v>
      </c>
      <c r="F49" s="161">
        <f t="shared" ref="F49" ca="1" si="41">D49+(E49/1000)</f>
        <v>0</v>
      </c>
      <c r="G49" s="158"/>
      <c r="H49" s="150">
        <f ca="1">ROUNDDOWN((-$D$84/$C$82)*C49,1)</f>
        <v>0</v>
      </c>
      <c r="I49" s="147"/>
      <c r="J49" s="33"/>
    </row>
    <row r="50" spans="1:11" ht="6.75" customHeight="1" x14ac:dyDescent="0.15">
      <c r="A50" s="180"/>
      <c r="B50" s="177"/>
      <c r="C50" s="174"/>
      <c r="D50" s="104"/>
      <c r="E50" s="168"/>
      <c r="F50" s="162"/>
      <c r="G50" s="158">
        <f t="shared" ref="G50" ca="1" si="42">G49+F49</f>
        <v>0</v>
      </c>
      <c r="H50" s="150"/>
      <c r="I50" s="147"/>
      <c r="J50" s="33"/>
    </row>
    <row r="51" spans="1:11" ht="6.75" customHeight="1" x14ac:dyDescent="0.15">
      <c r="A51" s="180">
        <v>25</v>
      </c>
      <c r="B51" s="104"/>
      <c r="C51" s="174"/>
      <c r="D51" s="104"/>
      <c r="E51" s="167">
        <f ca="1">IF(RIGHT(H51)="5",IF(MOD(LEFT(RIGHT(H51*10,2)),2),H51+0.5,H51-0.5),ROUND(H51,0))</f>
        <v>0</v>
      </c>
      <c r="F51" s="161">
        <f t="shared" ref="F51" ca="1" si="43">D51+(E51/1000)</f>
        <v>0</v>
      </c>
      <c r="G51" s="158"/>
      <c r="H51" s="150">
        <f ca="1">ROUNDDOWN((-$D$84/$C$82)*C51,1)</f>
        <v>0</v>
      </c>
      <c r="I51" s="147"/>
      <c r="J51" s="33"/>
    </row>
    <row r="52" spans="1:11" ht="6.75" customHeight="1" x14ac:dyDescent="0.15">
      <c r="A52" s="180"/>
      <c r="B52" s="177"/>
      <c r="C52" s="174"/>
      <c r="D52" s="104"/>
      <c r="E52" s="168"/>
      <c r="F52" s="162"/>
      <c r="G52" s="158">
        <f t="shared" ref="G52" ca="1" si="44">G51+F51</f>
        <v>0</v>
      </c>
      <c r="H52" s="150"/>
      <c r="I52" s="147"/>
      <c r="J52" s="33"/>
      <c r="K52" s="148"/>
    </row>
    <row r="53" spans="1:11" ht="6.75" customHeight="1" x14ac:dyDescent="0.15">
      <c r="A53" s="180">
        <v>26</v>
      </c>
      <c r="B53" s="104"/>
      <c r="C53" s="174"/>
      <c r="D53" s="104"/>
      <c r="E53" s="167">
        <f ca="1">IF(RIGHT(H53)="5",IF(MOD(LEFT(RIGHT(H53*10,2)),2),H53+0.5,H53-0.5),ROUND(H53,0))</f>
        <v>0</v>
      </c>
      <c r="F53" s="161">
        <f t="shared" ref="F53" ca="1" si="45">D53+(E53/1000)</f>
        <v>0</v>
      </c>
      <c r="G53" s="158"/>
      <c r="H53" s="150">
        <f ca="1">ROUNDDOWN((-$D$84/$C$82)*C53,1)</f>
        <v>0</v>
      </c>
      <c r="I53" s="147"/>
      <c r="J53" s="33"/>
      <c r="K53" s="148"/>
    </row>
    <row r="54" spans="1:11" ht="6.75" customHeight="1" x14ac:dyDescent="0.15">
      <c r="A54" s="180"/>
      <c r="B54" s="179"/>
      <c r="C54" s="174"/>
      <c r="D54" s="104"/>
      <c r="E54" s="168"/>
      <c r="F54" s="162"/>
      <c r="G54" s="158">
        <f t="shared" ref="G54" ca="1" si="46">G53+F53</f>
        <v>0</v>
      </c>
      <c r="H54" s="150"/>
      <c r="I54" s="147"/>
      <c r="J54" s="33"/>
      <c r="K54" s="148"/>
    </row>
    <row r="55" spans="1:11" ht="6.75" customHeight="1" x14ac:dyDescent="0.15">
      <c r="A55" s="180">
        <v>27</v>
      </c>
      <c r="B55" s="125"/>
      <c r="C55" s="174"/>
      <c r="D55" s="104"/>
      <c r="E55" s="167">
        <f ca="1">IF(RIGHT(H55)="5",IF(MOD(LEFT(RIGHT(H55*10,2)),2),H55+0.5,H55-0.5),ROUND(H55,0))</f>
        <v>0</v>
      </c>
      <c r="F55" s="161">
        <f t="shared" ref="F55" ca="1" si="47">D55+(E55/1000)</f>
        <v>0</v>
      </c>
      <c r="G55" s="158"/>
      <c r="H55" s="150">
        <f ca="1">ROUNDDOWN((-$D$84/$C$82)*C55,1)</f>
        <v>0</v>
      </c>
      <c r="I55" s="147"/>
      <c r="J55" s="33"/>
      <c r="K55" s="148"/>
    </row>
    <row r="56" spans="1:11" ht="6.75" customHeight="1" x14ac:dyDescent="0.15">
      <c r="A56" s="180"/>
      <c r="B56" s="177"/>
      <c r="C56" s="174"/>
      <c r="D56" s="104"/>
      <c r="E56" s="168"/>
      <c r="F56" s="162"/>
      <c r="G56" s="158">
        <f t="shared" ref="G56" ca="1" si="48">G55+F55</f>
        <v>0</v>
      </c>
      <c r="H56" s="150"/>
      <c r="I56" s="147"/>
      <c r="J56" s="33"/>
      <c r="K56" s="148"/>
    </row>
    <row r="57" spans="1:11" ht="6.75" customHeight="1" x14ac:dyDescent="0.15">
      <c r="A57" s="180">
        <v>28</v>
      </c>
      <c r="B57" s="104"/>
      <c r="C57" s="174"/>
      <c r="D57" s="104"/>
      <c r="E57" s="167">
        <f ca="1">IF(RIGHT(H57)="5",IF(MOD(LEFT(RIGHT(H57*10,2)),2),H57+0.5,H57-0.5),ROUND(H57,0))</f>
        <v>0</v>
      </c>
      <c r="F57" s="161">
        <f t="shared" ref="F57" ca="1" si="49">D57+(E57/1000)</f>
        <v>0</v>
      </c>
      <c r="G57" s="158"/>
      <c r="H57" s="150">
        <f ca="1">ROUNDDOWN((-$D$84/$C$82)*C57,1)</f>
        <v>0</v>
      </c>
      <c r="I57" s="147"/>
      <c r="J57" s="33"/>
      <c r="K57" s="148"/>
    </row>
    <row r="58" spans="1:11" ht="6.75" customHeight="1" x14ac:dyDescent="0.15">
      <c r="A58" s="180"/>
      <c r="B58" s="177"/>
      <c r="C58" s="174"/>
      <c r="D58" s="104"/>
      <c r="E58" s="168"/>
      <c r="F58" s="162"/>
      <c r="G58" s="158">
        <f t="shared" ref="G58" ca="1" si="50">G57+F57</f>
        <v>0</v>
      </c>
      <c r="H58" s="150"/>
      <c r="I58" s="147"/>
      <c r="J58" s="33"/>
      <c r="K58" s="148"/>
    </row>
    <row r="59" spans="1:11" ht="6.75" customHeight="1" x14ac:dyDescent="0.15">
      <c r="A59" s="180">
        <v>29</v>
      </c>
      <c r="B59" s="104"/>
      <c r="C59" s="174"/>
      <c r="D59" s="104"/>
      <c r="E59" s="167">
        <f ca="1">IF(RIGHT(H59)="5",IF(MOD(LEFT(RIGHT(H59*10,2)),2),H59+0.5,H59-0.5),ROUND(H59,0))</f>
        <v>0</v>
      </c>
      <c r="F59" s="161">
        <f t="shared" ref="F59" ca="1" si="51">D59+(E59/1000)</f>
        <v>0</v>
      </c>
      <c r="G59" s="158"/>
      <c r="H59" s="150">
        <f ca="1">ROUNDDOWN((-$D$84/$C$82)*C59,1)</f>
        <v>0</v>
      </c>
      <c r="I59" s="147"/>
      <c r="J59" s="33"/>
      <c r="K59" s="148"/>
    </row>
    <row r="60" spans="1:11" ht="6.75" customHeight="1" x14ac:dyDescent="0.15">
      <c r="A60" s="180"/>
      <c r="B60" s="177"/>
      <c r="C60" s="174"/>
      <c r="D60" s="104"/>
      <c r="E60" s="168"/>
      <c r="F60" s="162"/>
      <c r="G60" s="158">
        <f t="shared" ref="G60" ca="1" si="52">G59+F59</f>
        <v>0</v>
      </c>
      <c r="H60" s="150"/>
      <c r="I60" s="147"/>
      <c r="J60" s="33"/>
      <c r="K60" s="148"/>
    </row>
    <row r="61" spans="1:11" ht="6.75" customHeight="1" x14ac:dyDescent="0.15">
      <c r="A61" s="180">
        <v>30</v>
      </c>
      <c r="B61" s="104"/>
      <c r="C61" s="174"/>
      <c r="D61" s="104"/>
      <c r="E61" s="167">
        <f ca="1">IF(RIGHT(H61)="5",IF(MOD(LEFT(RIGHT(H61*10,2)),2),H61+0.5,H61-0.5),ROUND(H61,0))</f>
        <v>0</v>
      </c>
      <c r="F61" s="161">
        <f t="shared" ref="F61" ca="1" si="53">D61+(E61/1000)</f>
        <v>0</v>
      </c>
      <c r="G61" s="158"/>
      <c r="H61" s="150">
        <f ca="1">ROUNDDOWN((-$D$84/$C$82)*C61,1)</f>
        <v>0</v>
      </c>
      <c r="I61" s="147"/>
      <c r="J61" s="33"/>
      <c r="K61" s="148"/>
    </row>
    <row r="62" spans="1:11" ht="6.75" customHeight="1" x14ac:dyDescent="0.15">
      <c r="A62" s="180"/>
      <c r="B62" s="177"/>
      <c r="C62" s="174"/>
      <c r="D62" s="104"/>
      <c r="E62" s="168"/>
      <c r="F62" s="162"/>
      <c r="G62" s="158">
        <f t="shared" ref="G62" ca="1" si="54">G61+F61</f>
        <v>0</v>
      </c>
      <c r="H62" s="150"/>
      <c r="I62" s="147"/>
      <c r="J62" s="33"/>
      <c r="K62" s="148"/>
    </row>
    <row r="63" spans="1:11" ht="6.75" customHeight="1" x14ac:dyDescent="0.15">
      <c r="A63" s="180">
        <v>31</v>
      </c>
      <c r="B63" s="104"/>
      <c r="C63" s="174"/>
      <c r="D63" s="104"/>
      <c r="E63" s="167">
        <f ca="1">IF(RIGHT(H63)="5",IF(MOD(LEFT(RIGHT(H63*10,2)),2),H63+0.5,H63-0.5),ROUND(H63,0))</f>
        <v>0</v>
      </c>
      <c r="F63" s="161">
        <f t="shared" ref="F63" ca="1" si="55">D63+(E63/1000)</f>
        <v>0</v>
      </c>
      <c r="G63" s="158"/>
      <c r="H63" s="150">
        <f ca="1">ROUNDDOWN((-$D$84/$C$82)*C63,1)</f>
        <v>0</v>
      </c>
      <c r="I63" s="147"/>
      <c r="J63" s="33"/>
      <c r="K63" s="148"/>
    </row>
    <row r="64" spans="1:11" ht="6.75" customHeight="1" x14ac:dyDescent="0.15">
      <c r="A64" s="180"/>
      <c r="B64" s="177"/>
      <c r="C64" s="174"/>
      <c r="D64" s="104"/>
      <c r="E64" s="168"/>
      <c r="F64" s="162"/>
      <c r="G64" s="158">
        <f t="shared" ref="G64" ca="1" si="56">G63+F63</f>
        <v>0</v>
      </c>
      <c r="H64" s="150"/>
      <c r="I64" s="147"/>
      <c r="J64" s="33"/>
      <c r="K64" s="148"/>
    </row>
    <row r="65" spans="1:11" ht="6.75" customHeight="1" x14ac:dyDescent="0.15">
      <c r="A65" s="180">
        <v>32</v>
      </c>
      <c r="B65" s="104"/>
      <c r="C65" s="174"/>
      <c r="D65" s="104"/>
      <c r="E65" s="167">
        <f ca="1">IF(RIGHT(H65)="5",IF(MOD(LEFT(RIGHT(H65*10,2)),2),H65+0.5,H65-0.5),ROUND(H65,0))</f>
        <v>0</v>
      </c>
      <c r="F65" s="161">
        <f t="shared" ref="F65" ca="1" si="57">D65+(E65/1000)</f>
        <v>0</v>
      </c>
      <c r="G65" s="158"/>
      <c r="H65" s="150">
        <f ca="1">ROUNDDOWN((-$D$84/$C$82)*C65,1)</f>
        <v>0</v>
      </c>
      <c r="I65" s="147"/>
      <c r="J65" s="33"/>
      <c r="K65" s="148"/>
    </row>
    <row r="66" spans="1:11" ht="6.75" customHeight="1" x14ac:dyDescent="0.15">
      <c r="A66" s="180"/>
      <c r="B66" s="177"/>
      <c r="C66" s="174"/>
      <c r="D66" s="104"/>
      <c r="E66" s="168"/>
      <c r="F66" s="162"/>
      <c r="G66" s="158">
        <f t="shared" ref="G66" ca="1" si="58">G65+F65</f>
        <v>0</v>
      </c>
      <c r="H66" s="150"/>
      <c r="I66" s="149"/>
      <c r="J66" s="34"/>
      <c r="K66" s="148"/>
    </row>
    <row r="67" spans="1:11" ht="6.75" customHeight="1" x14ac:dyDescent="0.15">
      <c r="A67" s="180">
        <v>33</v>
      </c>
      <c r="B67" s="104"/>
      <c r="C67" s="174"/>
      <c r="D67" s="104"/>
      <c r="E67" s="167">
        <f ca="1">IF(RIGHT(H67)="5",IF(MOD(LEFT(RIGHT(H67*10,2)),2),H67+0.5,H67-0.5),ROUND(H67,0))</f>
        <v>0</v>
      </c>
      <c r="F67" s="161">
        <f t="shared" ref="F67" ca="1" si="59">D67+(E67/1000)</f>
        <v>0</v>
      </c>
      <c r="G67" s="158"/>
      <c r="H67" s="150">
        <f ca="1">ROUNDDOWN((-$D$84/$C$82)*C67,1)</f>
        <v>0</v>
      </c>
      <c r="I67" s="147"/>
      <c r="J67" s="33"/>
      <c r="K67" s="148"/>
    </row>
    <row r="68" spans="1:11" ht="6.75" customHeight="1" x14ac:dyDescent="0.15">
      <c r="A68" s="180"/>
      <c r="B68" s="177"/>
      <c r="C68" s="174"/>
      <c r="D68" s="104"/>
      <c r="E68" s="168"/>
      <c r="F68" s="162"/>
      <c r="G68" s="158">
        <f t="shared" ref="G68" ca="1" si="60">G67+F67</f>
        <v>0</v>
      </c>
      <c r="H68" s="150"/>
      <c r="I68" s="149"/>
      <c r="J68" s="34"/>
      <c r="K68" s="148"/>
    </row>
    <row r="69" spans="1:11" ht="6.75" customHeight="1" x14ac:dyDescent="0.15">
      <c r="A69" s="180">
        <v>34</v>
      </c>
      <c r="B69" s="104"/>
      <c r="C69" s="174"/>
      <c r="D69" s="104"/>
      <c r="E69" s="167">
        <f ca="1">IF(RIGHT(H69)="5",IF(MOD(LEFT(RIGHT(H69*10,2)),2),H69+0.5,H69-0.5),ROUND(H69,0))</f>
        <v>0</v>
      </c>
      <c r="F69" s="161">
        <f t="shared" ref="F69" ca="1" si="61">D69+(E69/1000)</f>
        <v>0</v>
      </c>
      <c r="G69" s="158"/>
      <c r="H69" s="150">
        <f ca="1">ROUNDDOWN((-$D$84/$C$82)*C69,1)</f>
        <v>0</v>
      </c>
      <c r="I69" s="147"/>
      <c r="J69" s="33"/>
      <c r="K69" s="148"/>
    </row>
    <row r="70" spans="1:11" ht="6.75" customHeight="1" x14ac:dyDescent="0.15">
      <c r="A70" s="180"/>
      <c r="B70" s="177"/>
      <c r="C70" s="174"/>
      <c r="D70" s="104"/>
      <c r="E70" s="168"/>
      <c r="F70" s="162"/>
      <c r="G70" s="158">
        <f t="shared" ref="G70" ca="1" si="62">G69+F69</f>
        <v>0</v>
      </c>
      <c r="H70" s="150"/>
      <c r="I70" s="147"/>
      <c r="J70" s="33"/>
      <c r="K70" s="148"/>
    </row>
    <row r="71" spans="1:11" ht="6.75" customHeight="1" x14ac:dyDescent="0.15">
      <c r="A71" s="180">
        <v>35</v>
      </c>
      <c r="B71" s="104"/>
      <c r="C71" s="174"/>
      <c r="D71" s="104"/>
      <c r="E71" s="167">
        <f ca="1">IF(RIGHT(H71)="5",IF(MOD(LEFT(RIGHT(H71*10,2)),2),H71+0.5,H71-0.5),ROUND(H71,0))</f>
        <v>0</v>
      </c>
      <c r="F71" s="161">
        <f t="shared" ref="F71" ca="1" si="63">D71+(E71/1000)</f>
        <v>0</v>
      </c>
      <c r="G71" s="158"/>
      <c r="H71" s="150">
        <f t="shared" ref="H71" ca="1" si="64">ROUNDDOWN((-$D$84/$C$82)*C71,1)</f>
        <v>0</v>
      </c>
      <c r="I71" s="147"/>
      <c r="J71" s="33"/>
      <c r="K71" s="148"/>
    </row>
    <row r="72" spans="1:11" ht="6.75" customHeight="1" x14ac:dyDescent="0.15">
      <c r="A72" s="180"/>
      <c r="B72" s="177"/>
      <c r="C72" s="174"/>
      <c r="D72" s="104"/>
      <c r="E72" s="168"/>
      <c r="F72" s="162"/>
      <c r="G72" s="158">
        <f t="shared" ref="G72" ca="1" si="65">G71+F71</f>
        <v>0</v>
      </c>
      <c r="H72" s="150"/>
      <c r="I72" s="147"/>
      <c r="J72" s="33"/>
      <c r="K72" s="148"/>
    </row>
    <row r="73" spans="1:11" ht="6.75" customHeight="1" x14ac:dyDescent="0.15">
      <c r="A73" s="180">
        <v>36</v>
      </c>
      <c r="B73" s="104"/>
      <c r="C73" s="174"/>
      <c r="D73" s="104"/>
      <c r="E73" s="167">
        <f ca="1">IF(RIGHT(H73)="5",IF(MOD(LEFT(RIGHT(H73*10,2)),2),H73+0.5,H73-0.5),ROUND(H73,0))</f>
        <v>0</v>
      </c>
      <c r="F73" s="161">
        <f t="shared" ref="F73" ca="1" si="66">D73+(E73/1000)</f>
        <v>0</v>
      </c>
      <c r="G73" s="158"/>
      <c r="H73" s="150">
        <f ca="1">ROUNDDOWN((-$D$84/$C$82)*C73,1)</f>
        <v>0</v>
      </c>
      <c r="I73" s="147"/>
      <c r="J73" s="33"/>
      <c r="K73" s="148"/>
    </row>
    <row r="74" spans="1:11" ht="6.75" customHeight="1" x14ac:dyDescent="0.15">
      <c r="A74" s="180"/>
      <c r="B74" s="177"/>
      <c r="C74" s="174"/>
      <c r="D74" s="104"/>
      <c r="E74" s="168"/>
      <c r="F74" s="162"/>
      <c r="G74" s="158">
        <f t="shared" ref="G74" ca="1" si="67">G73+F73</f>
        <v>0</v>
      </c>
      <c r="H74" s="150"/>
      <c r="I74" s="147"/>
      <c r="J74" s="33"/>
      <c r="K74" s="148"/>
    </row>
    <row r="75" spans="1:11" ht="6.75" customHeight="1" x14ac:dyDescent="0.15">
      <c r="A75" s="180">
        <v>37</v>
      </c>
      <c r="B75" s="104"/>
      <c r="C75" s="174"/>
      <c r="D75" s="104"/>
      <c r="E75" s="167">
        <f ca="1">IF(RIGHT(H75)="5",IF(MOD(LEFT(RIGHT(H75*10,2)),2),H75+0.5,H75-0.5),ROUND(H75,0))</f>
        <v>0</v>
      </c>
      <c r="F75" s="161">
        <f t="shared" ref="F75" ca="1" si="68">D75+(E75/1000)</f>
        <v>0</v>
      </c>
      <c r="G75" s="158"/>
      <c r="H75" s="150">
        <f ca="1">ROUNDDOWN((-$D$84/$C$82)*C75,1)</f>
        <v>0</v>
      </c>
      <c r="I75" s="147"/>
      <c r="J75" s="33"/>
      <c r="K75" s="148"/>
    </row>
    <row r="76" spans="1:11" ht="6.75" customHeight="1" x14ac:dyDescent="0.15">
      <c r="A76" s="180"/>
      <c r="B76" s="177"/>
      <c r="C76" s="174"/>
      <c r="D76" s="104"/>
      <c r="E76" s="168"/>
      <c r="F76" s="162"/>
      <c r="G76" s="158">
        <f t="shared" ref="G76" ca="1" si="69">G75+F75</f>
        <v>0</v>
      </c>
      <c r="H76" s="150"/>
      <c r="I76" s="147"/>
      <c r="J76" s="33"/>
      <c r="K76" s="148"/>
    </row>
    <row r="77" spans="1:11" ht="7.5" customHeight="1" x14ac:dyDescent="0.15">
      <c r="A77" s="180">
        <v>38</v>
      </c>
      <c r="B77" s="104"/>
      <c r="C77" s="174"/>
      <c r="D77" s="104"/>
      <c r="E77" s="167">
        <f t="shared" ref="E77" ca="1" si="70">IF(RIGHT(H77)="5",IF(MOD(LEFT(RIGHT(H77*10,2)),2),H77+0.5,H77-0.5),ROUND(H77,0))</f>
        <v>0</v>
      </c>
      <c r="F77" s="161">
        <f t="shared" ref="F77" ca="1" si="71">D77+(E77/1000)</f>
        <v>0</v>
      </c>
      <c r="G77" s="158"/>
      <c r="H77" s="150">
        <f ca="1">ROUNDDOWN((-$D$84/$C$82)*C77,1)</f>
        <v>0</v>
      </c>
      <c r="I77" s="147"/>
      <c r="J77" s="33"/>
      <c r="K77" s="148"/>
    </row>
    <row r="78" spans="1:11" ht="6.75" customHeight="1" x14ac:dyDescent="0.15">
      <c r="A78" s="180"/>
      <c r="B78" s="177"/>
      <c r="C78" s="174"/>
      <c r="D78" s="104"/>
      <c r="E78" s="168"/>
      <c r="F78" s="162"/>
      <c r="G78" s="158">
        <f t="shared" ref="G78" ca="1" si="72">G77+F77</f>
        <v>0</v>
      </c>
      <c r="H78" s="150"/>
      <c r="I78" s="147"/>
      <c r="J78" s="33"/>
      <c r="K78" s="148"/>
    </row>
    <row r="79" spans="1:11" ht="6.75" customHeight="1" x14ac:dyDescent="0.15">
      <c r="A79" s="181"/>
      <c r="B79" s="104"/>
      <c r="C79" s="174"/>
      <c r="D79" s="104"/>
      <c r="E79" s="169"/>
      <c r="F79" s="161">
        <f t="shared" ref="F79" si="73">D79+(E79/1000)</f>
        <v>0</v>
      </c>
      <c r="G79" s="158"/>
      <c r="H79" s="151" t="s">
        <v>68</v>
      </c>
      <c r="I79" s="147"/>
      <c r="J79" s="33"/>
      <c r="K79" s="148"/>
    </row>
    <row r="80" spans="1:11" ht="6.75" customHeight="1" x14ac:dyDescent="0.15">
      <c r="A80" s="182"/>
      <c r="B80" s="177"/>
      <c r="C80" s="174"/>
      <c r="D80" s="104"/>
      <c r="E80" s="170"/>
      <c r="F80" s="162"/>
      <c r="G80" s="159"/>
      <c r="H80" s="152"/>
      <c r="I80" s="147"/>
      <c r="J80" s="33"/>
      <c r="K80" s="148"/>
    </row>
    <row r="81" spans="1:11" ht="6.75" customHeight="1" x14ac:dyDescent="0.15">
      <c r="A81" s="24"/>
      <c r="B81" s="104"/>
      <c r="C81" s="26"/>
      <c r="D81" s="28"/>
      <c r="E81" s="28"/>
      <c r="F81" s="28"/>
      <c r="G81" s="160"/>
      <c r="H81" s="18"/>
      <c r="I81" s="147"/>
      <c r="J81" s="33"/>
      <c r="K81" s="148"/>
    </row>
    <row r="82" spans="1:11" ht="6.75" customHeight="1" x14ac:dyDescent="0.15">
      <c r="A82" s="178" t="s">
        <v>69</v>
      </c>
      <c r="B82" s="178"/>
      <c r="C82" s="172">
        <f>SUM(C3:C80)</f>
        <v>4</v>
      </c>
      <c r="D82" s="172">
        <f>SUM(D3:D81)</f>
        <v>-0.27700000000000002</v>
      </c>
      <c r="E82" s="171">
        <f ca="1">SUM(E3:E81)</f>
        <v>20</v>
      </c>
      <c r="F82" s="163">
        <f ca="1">SUM(E3:E81)</f>
        <v>20</v>
      </c>
      <c r="G82" s="156"/>
      <c r="I82" s="147"/>
      <c r="J82" s="33"/>
      <c r="K82" s="148"/>
    </row>
    <row r="83" spans="1:11" ht="6.75" customHeight="1" x14ac:dyDescent="0.15">
      <c r="A83" s="178"/>
      <c r="B83" s="178"/>
      <c r="C83" s="172"/>
      <c r="D83" s="164"/>
      <c r="E83" s="171"/>
      <c r="F83" s="164"/>
      <c r="G83" s="157"/>
      <c r="I83" s="147"/>
      <c r="J83" s="33"/>
      <c r="K83" s="148"/>
    </row>
    <row r="84" spans="1:11" ht="18.75" customHeight="1" x14ac:dyDescent="0.15">
      <c r="A84" s="183" t="s">
        <v>70</v>
      </c>
      <c r="B84" s="35"/>
      <c r="C84" s="36" t="s">
        <v>71</v>
      </c>
      <c r="D84" s="37">
        <f ca="1">(G3+D82-(LOOKUP(1,0/(G3:G83&lt;&gt;0),G3:G83)))*1000</f>
        <v>-19.999999999999574</v>
      </c>
      <c r="E84" s="38" t="s">
        <v>72</v>
      </c>
      <c r="F84" s="39" t="s">
        <v>73</v>
      </c>
      <c r="G84" s="40" t="str">
        <f ca="1">IF(ROUND(D84,0)+E82=0,"合理",ROUND(D84,0)+E82)</f>
        <v>合理</v>
      </c>
      <c r="I84" s="56"/>
      <c r="J84" s="44"/>
    </row>
    <row r="85" spans="1:11" ht="16.5" customHeight="1" x14ac:dyDescent="0.15">
      <c r="A85" s="184"/>
      <c r="B85" s="41"/>
      <c r="C85" s="42" t="s">
        <v>74</v>
      </c>
      <c r="D85" s="43">
        <f>20*SQRT(SUM(C3:C80))</f>
        <v>40</v>
      </c>
      <c r="E85" s="44" t="s">
        <v>72</v>
      </c>
      <c r="F85" s="44"/>
      <c r="G85" s="45"/>
      <c r="I85" s="44"/>
      <c r="J85" s="44"/>
    </row>
    <row r="86" spans="1:11" ht="20.25" customHeight="1" x14ac:dyDescent="0.25">
      <c r="A86" s="185"/>
      <c r="B86" s="46"/>
      <c r="C86" s="47" t="s">
        <v>75</v>
      </c>
      <c r="D86" s="48">
        <f ca="1">(ABS(D85)-ABS(D84))</f>
        <v>20.000000000000426</v>
      </c>
      <c r="E86" s="49" t="s">
        <v>76</v>
      </c>
      <c r="F86" s="50" t="str">
        <f ca="1">IF(D86&gt;0,"符合","不符合")</f>
        <v>符合</v>
      </c>
      <c r="G86" s="51" t="s">
        <v>77</v>
      </c>
      <c r="I86" s="44"/>
      <c r="J86" s="44"/>
    </row>
    <row r="87" spans="1:11" ht="15.75" x14ac:dyDescent="0.25">
      <c r="A87" s="52"/>
      <c r="B87" s="53" t="s">
        <v>78</v>
      </c>
      <c r="C87" s="44"/>
      <c r="D87" s="44"/>
      <c r="E87" s="53"/>
      <c r="F87" s="53" t="s">
        <v>79</v>
      </c>
      <c r="G87" s="54"/>
      <c r="I87">
        <f ca="1">LOOKUP(1,0/(ISNUMBER(G3:G83)),G3:G83)</f>
        <v>0</v>
      </c>
    </row>
    <row r="88" spans="1:11" x14ac:dyDescent="0.15">
      <c r="A88" s="52"/>
      <c r="B88" s="44"/>
      <c r="C88" s="44"/>
      <c r="D88" s="44"/>
      <c r="E88" s="44"/>
      <c r="F88" s="44"/>
      <c r="G88" s="54"/>
    </row>
    <row r="89" spans="1:11" x14ac:dyDescent="0.15">
      <c r="A89" s="52"/>
      <c r="B89" s="44"/>
      <c r="C89" s="44"/>
      <c r="D89" s="44"/>
      <c r="E89" s="44"/>
      <c r="F89" s="44"/>
      <c r="G89" s="55">
        <f ca="1">ROUND(E82+D84,0)</f>
        <v>0</v>
      </c>
    </row>
    <row r="90" spans="1:11" x14ac:dyDescent="0.15">
      <c r="A90" s="52"/>
      <c r="B90" s="44"/>
      <c r="C90" s="44"/>
      <c r="D90" s="44"/>
      <c r="E90" s="44"/>
      <c r="F90" s="44"/>
      <c r="G90" s="54"/>
    </row>
    <row r="91" spans="1:11" x14ac:dyDescent="0.15">
      <c r="A91" s="52"/>
      <c r="B91" s="44"/>
      <c r="C91" s="44"/>
      <c r="D91" s="44"/>
      <c r="E91" s="44"/>
      <c r="F91" s="56"/>
      <c r="G91" s="54"/>
    </row>
    <row r="92" spans="1:11" x14ac:dyDescent="0.15">
      <c r="A92" s="52"/>
      <c r="B92" s="44"/>
      <c r="C92" s="44"/>
      <c r="D92" s="44"/>
      <c r="E92" s="44"/>
      <c r="F92" s="44"/>
      <c r="G92" s="54"/>
    </row>
    <row r="93" spans="1:11" x14ac:dyDescent="0.15">
      <c r="F93">
        <f ca="1">LOOKUP(9^9,G3:G80)</f>
        <v>0</v>
      </c>
    </row>
    <row r="96" spans="1:11" x14ac:dyDescent="0.15">
      <c r="D96">
        <v>0</v>
      </c>
    </row>
    <row r="98" spans="4:4" x14ac:dyDescent="0.15">
      <c r="D98">
        <v>0.5</v>
      </c>
    </row>
    <row r="100" spans="4:4" x14ac:dyDescent="0.15">
      <c r="D100">
        <v>1.1000000000000001</v>
      </c>
    </row>
    <row r="102" spans="4:4" x14ac:dyDescent="0.15">
      <c r="D102">
        <v>1.65</v>
      </c>
    </row>
    <row r="104" spans="4:4" x14ac:dyDescent="0.15">
      <c r="D104">
        <v>2.2000000000000002</v>
      </c>
    </row>
    <row r="106" spans="4:4" x14ac:dyDescent="0.15">
      <c r="D106">
        <v>2.75</v>
      </c>
    </row>
    <row r="108" spans="4:4" x14ac:dyDescent="0.15">
      <c r="D108">
        <v>3.3</v>
      </c>
    </row>
    <row r="110" spans="4:4" x14ac:dyDescent="0.15">
      <c r="D110">
        <v>3.85</v>
      </c>
    </row>
    <row r="112" spans="4:4" x14ac:dyDescent="0.15">
      <c r="D112">
        <v>4.4000000000000004</v>
      </c>
    </row>
    <row r="114" spans="4:4" x14ac:dyDescent="0.15">
      <c r="D114">
        <v>4.95</v>
      </c>
    </row>
    <row r="116" spans="4:4" x14ac:dyDescent="0.15">
      <c r="D116">
        <v>5.5</v>
      </c>
    </row>
    <row r="118" spans="4:4" x14ac:dyDescent="0.15">
      <c r="D118">
        <v>6.05</v>
      </c>
    </row>
    <row r="120" spans="4:4" x14ac:dyDescent="0.15">
      <c r="D120">
        <v>6.6</v>
      </c>
    </row>
    <row r="122" spans="4:4" x14ac:dyDescent="0.15">
      <c r="D122">
        <v>7.15</v>
      </c>
    </row>
    <row r="124" spans="4:4" x14ac:dyDescent="0.15">
      <c r="D124">
        <v>7.7</v>
      </c>
    </row>
    <row r="126" spans="4:4" x14ac:dyDescent="0.15">
      <c r="D126">
        <v>8.25</v>
      </c>
    </row>
    <row r="128" spans="4:4" x14ac:dyDescent="0.15">
      <c r="D128">
        <v>8.8000000000000007</v>
      </c>
    </row>
    <row r="130" spans="4:4" x14ac:dyDescent="0.15">
      <c r="D130">
        <v>9.35</v>
      </c>
    </row>
    <row r="132" spans="4:4" x14ac:dyDescent="0.15">
      <c r="D132">
        <v>9.9</v>
      </c>
    </row>
    <row r="134" spans="4:4" x14ac:dyDescent="0.15">
      <c r="D134">
        <v>10.45</v>
      </c>
    </row>
    <row r="136" spans="4:4" x14ac:dyDescent="0.15">
      <c r="D136">
        <v>11</v>
      </c>
    </row>
  </sheetData>
  <mergeCells count="380">
    <mergeCell ref="A1:G1"/>
    <mergeCell ref="A3:A4"/>
    <mergeCell ref="A5:A6"/>
    <mergeCell ref="A7:A8"/>
    <mergeCell ref="A9:A10"/>
    <mergeCell ref="A11:A12"/>
    <mergeCell ref="A13:A14"/>
    <mergeCell ref="A15:A16"/>
    <mergeCell ref="A17:A18"/>
    <mergeCell ref="E3:E4"/>
    <mergeCell ref="E5:E6"/>
    <mergeCell ref="E7:E8"/>
    <mergeCell ref="E9:E10"/>
    <mergeCell ref="E11:E12"/>
    <mergeCell ref="E13:E14"/>
    <mergeCell ref="E15:E16"/>
    <mergeCell ref="E17:E18"/>
    <mergeCell ref="A19:A20"/>
    <mergeCell ref="A21:A22"/>
    <mergeCell ref="A23:A24"/>
    <mergeCell ref="A25:A26"/>
    <mergeCell ref="A27:A28"/>
    <mergeCell ref="A29:A30"/>
    <mergeCell ref="A31:A32"/>
    <mergeCell ref="A33:A34"/>
    <mergeCell ref="A35:A36"/>
    <mergeCell ref="A37:A38"/>
    <mergeCell ref="A39:A40"/>
    <mergeCell ref="A41:A42"/>
    <mergeCell ref="A43:A44"/>
    <mergeCell ref="A45:A46"/>
    <mergeCell ref="A47:A48"/>
    <mergeCell ref="A49:A50"/>
    <mergeCell ref="A51:A52"/>
    <mergeCell ref="A53:A54"/>
    <mergeCell ref="A55:A56"/>
    <mergeCell ref="A57:A58"/>
    <mergeCell ref="A59:A60"/>
    <mergeCell ref="A61:A62"/>
    <mergeCell ref="A63:A64"/>
    <mergeCell ref="A65:A66"/>
    <mergeCell ref="A67:A68"/>
    <mergeCell ref="A69:A70"/>
    <mergeCell ref="A71:A72"/>
    <mergeCell ref="A73:A74"/>
    <mergeCell ref="A75:A76"/>
    <mergeCell ref="A77:A78"/>
    <mergeCell ref="A79:A80"/>
    <mergeCell ref="A82:A83"/>
    <mergeCell ref="A84:A86"/>
    <mergeCell ref="B4:B5"/>
    <mergeCell ref="B6:B7"/>
    <mergeCell ref="B8:B9"/>
    <mergeCell ref="B10:B11"/>
    <mergeCell ref="B12:B13"/>
    <mergeCell ref="B14:B15"/>
    <mergeCell ref="B16:B17"/>
    <mergeCell ref="B18:B19"/>
    <mergeCell ref="B20:B21"/>
    <mergeCell ref="B22:B23"/>
    <mergeCell ref="B24:B25"/>
    <mergeCell ref="B26:B27"/>
    <mergeCell ref="B28:B29"/>
    <mergeCell ref="B30:B31"/>
    <mergeCell ref="B32:B33"/>
    <mergeCell ref="B34:B35"/>
    <mergeCell ref="B36:B37"/>
    <mergeCell ref="B38:B39"/>
    <mergeCell ref="B40:B41"/>
    <mergeCell ref="B42:B43"/>
    <mergeCell ref="B44:B45"/>
    <mergeCell ref="B46:B47"/>
    <mergeCell ref="B48:B49"/>
    <mergeCell ref="B50:B51"/>
    <mergeCell ref="B52:B53"/>
    <mergeCell ref="B54:B55"/>
    <mergeCell ref="B56:B57"/>
    <mergeCell ref="B58:B59"/>
    <mergeCell ref="B60:B61"/>
    <mergeCell ref="B62:B63"/>
    <mergeCell ref="B64:B65"/>
    <mergeCell ref="B66:B67"/>
    <mergeCell ref="B68:B69"/>
    <mergeCell ref="B70:B71"/>
    <mergeCell ref="B72:B73"/>
    <mergeCell ref="B74:B75"/>
    <mergeCell ref="B76:B77"/>
    <mergeCell ref="B78:B79"/>
    <mergeCell ref="B80:B81"/>
    <mergeCell ref="B82:B83"/>
    <mergeCell ref="C3:C4"/>
    <mergeCell ref="C5:C6"/>
    <mergeCell ref="C7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C29:C30"/>
    <mergeCell ref="C31:C32"/>
    <mergeCell ref="C33:C34"/>
    <mergeCell ref="C35:C36"/>
    <mergeCell ref="C37:C38"/>
    <mergeCell ref="C39:C40"/>
    <mergeCell ref="C41:C42"/>
    <mergeCell ref="C43:C44"/>
    <mergeCell ref="C45:C46"/>
    <mergeCell ref="C47:C48"/>
    <mergeCell ref="C49:C50"/>
    <mergeCell ref="C51:C52"/>
    <mergeCell ref="C53:C54"/>
    <mergeCell ref="C55:C56"/>
    <mergeCell ref="C57:C58"/>
    <mergeCell ref="C59:C60"/>
    <mergeCell ref="C61:C6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2:C83"/>
    <mergeCell ref="D3:D4"/>
    <mergeCell ref="D5:D6"/>
    <mergeCell ref="D7:D8"/>
    <mergeCell ref="D9:D10"/>
    <mergeCell ref="D11:D12"/>
    <mergeCell ref="D13:D14"/>
    <mergeCell ref="D15:D16"/>
    <mergeCell ref="D17:D18"/>
    <mergeCell ref="D19:D20"/>
    <mergeCell ref="D21:D22"/>
    <mergeCell ref="D23:D24"/>
    <mergeCell ref="D25:D26"/>
    <mergeCell ref="D27:D28"/>
    <mergeCell ref="D29:D30"/>
    <mergeCell ref="D31:D32"/>
    <mergeCell ref="D33:D34"/>
    <mergeCell ref="D35:D36"/>
    <mergeCell ref="D37:D38"/>
    <mergeCell ref="D39:D40"/>
    <mergeCell ref="D41:D42"/>
    <mergeCell ref="D43:D44"/>
    <mergeCell ref="D45:D46"/>
    <mergeCell ref="D47:D48"/>
    <mergeCell ref="D49:D50"/>
    <mergeCell ref="D51:D52"/>
    <mergeCell ref="D53:D54"/>
    <mergeCell ref="D55:D56"/>
    <mergeCell ref="D57:D58"/>
    <mergeCell ref="D59:D60"/>
    <mergeCell ref="D61:D62"/>
    <mergeCell ref="D63:D64"/>
    <mergeCell ref="D65:D66"/>
    <mergeCell ref="D67:D68"/>
    <mergeCell ref="D69:D70"/>
    <mergeCell ref="D71:D72"/>
    <mergeCell ref="D73:D74"/>
    <mergeCell ref="D75:D76"/>
    <mergeCell ref="D77:D78"/>
    <mergeCell ref="D79:D80"/>
    <mergeCell ref="D82:D83"/>
    <mergeCell ref="E19:E20"/>
    <mergeCell ref="E21:E22"/>
    <mergeCell ref="E23:E24"/>
    <mergeCell ref="E25:E26"/>
    <mergeCell ref="E27:E28"/>
    <mergeCell ref="E29:E30"/>
    <mergeCell ref="E31:E32"/>
    <mergeCell ref="E33:E34"/>
    <mergeCell ref="E35:E36"/>
    <mergeCell ref="E37:E38"/>
    <mergeCell ref="E39:E40"/>
    <mergeCell ref="E41:E42"/>
    <mergeCell ref="E43:E44"/>
    <mergeCell ref="E45:E46"/>
    <mergeCell ref="E47:E48"/>
    <mergeCell ref="E49:E50"/>
    <mergeCell ref="E51:E52"/>
    <mergeCell ref="E53:E54"/>
    <mergeCell ref="E55:E56"/>
    <mergeCell ref="E57:E58"/>
    <mergeCell ref="E59:E60"/>
    <mergeCell ref="E61:E62"/>
    <mergeCell ref="E63:E64"/>
    <mergeCell ref="E65:E66"/>
    <mergeCell ref="E67:E68"/>
    <mergeCell ref="E69:E70"/>
    <mergeCell ref="E71:E72"/>
    <mergeCell ref="E73:E74"/>
    <mergeCell ref="E75:E76"/>
    <mergeCell ref="E77:E78"/>
    <mergeCell ref="E79:E80"/>
    <mergeCell ref="E82:E83"/>
    <mergeCell ref="F3:F4"/>
    <mergeCell ref="F5:F6"/>
    <mergeCell ref="F7:F8"/>
    <mergeCell ref="F9:F10"/>
    <mergeCell ref="F11:F12"/>
    <mergeCell ref="F13:F14"/>
    <mergeCell ref="F15:F16"/>
    <mergeCell ref="F17:F18"/>
    <mergeCell ref="F19:F20"/>
    <mergeCell ref="F21:F22"/>
    <mergeCell ref="F23:F24"/>
    <mergeCell ref="F25:F26"/>
    <mergeCell ref="F27:F28"/>
    <mergeCell ref="F29:F30"/>
    <mergeCell ref="F31:F32"/>
    <mergeCell ref="F33:F34"/>
    <mergeCell ref="F35:F36"/>
    <mergeCell ref="F37:F38"/>
    <mergeCell ref="F39:F40"/>
    <mergeCell ref="F41:F42"/>
    <mergeCell ref="F43:F44"/>
    <mergeCell ref="F45:F46"/>
    <mergeCell ref="F47:F48"/>
    <mergeCell ref="F49:F50"/>
    <mergeCell ref="F51:F52"/>
    <mergeCell ref="F53:F54"/>
    <mergeCell ref="F55:F56"/>
    <mergeCell ref="F57:F58"/>
    <mergeCell ref="F59:F60"/>
    <mergeCell ref="F61:F62"/>
    <mergeCell ref="F63:F64"/>
    <mergeCell ref="F65:F66"/>
    <mergeCell ref="F67:F68"/>
    <mergeCell ref="F69:F70"/>
    <mergeCell ref="F71:F72"/>
    <mergeCell ref="F73:F74"/>
    <mergeCell ref="F75:F76"/>
    <mergeCell ref="F77:F78"/>
    <mergeCell ref="F79:F80"/>
    <mergeCell ref="F82:F83"/>
    <mergeCell ref="G4:G5"/>
    <mergeCell ref="G6:G7"/>
    <mergeCell ref="G8:G9"/>
    <mergeCell ref="G10:G11"/>
    <mergeCell ref="G12:G13"/>
    <mergeCell ref="G14:G15"/>
    <mergeCell ref="G16:G17"/>
    <mergeCell ref="G18:G19"/>
    <mergeCell ref="G20:G21"/>
    <mergeCell ref="G22:G23"/>
    <mergeCell ref="G24:G25"/>
    <mergeCell ref="G26:G27"/>
    <mergeCell ref="G28:G29"/>
    <mergeCell ref="G30:G31"/>
    <mergeCell ref="G32:G33"/>
    <mergeCell ref="G34:G35"/>
    <mergeCell ref="G36:G37"/>
    <mergeCell ref="G38:G39"/>
    <mergeCell ref="G40:G41"/>
    <mergeCell ref="G42:G43"/>
    <mergeCell ref="G44:G45"/>
    <mergeCell ref="G46:G47"/>
    <mergeCell ref="G48:G49"/>
    <mergeCell ref="G50:G51"/>
    <mergeCell ref="G52:G53"/>
    <mergeCell ref="G54:G55"/>
    <mergeCell ref="G56:G57"/>
    <mergeCell ref="G58:G59"/>
    <mergeCell ref="G60:G61"/>
    <mergeCell ref="G62:G63"/>
    <mergeCell ref="G64:G65"/>
    <mergeCell ref="G66:G67"/>
    <mergeCell ref="G68:G69"/>
    <mergeCell ref="G70:G71"/>
    <mergeCell ref="G72:G73"/>
    <mergeCell ref="G74:G75"/>
    <mergeCell ref="G76:G77"/>
    <mergeCell ref="G78:G79"/>
    <mergeCell ref="G80:G81"/>
    <mergeCell ref="G82:G83"/>
    <mergeCell ref="H3:H4"/>
    <mergeCell ref="H5:H6"/>
    <mergeCell ref="H7:H8"/>
    <mergeCell ref="H9:H10"/>
    <mergeCell ref="H11:H12"/>
    <mergeCell ref="H13:H14"/>
    <mergeCell ref="H15:H16"/>
    <mergeCell ref="H17:H18"/>
    <mergeCell ref="H19:H20"/>
    <mergeCell ref="H21:H22"/>
    <mergeCell ref="H23:H24"/>
    <mergeCell ref="H25:H26"/>
    <mergeCell ref="H27:H28"/>
    <mergeCell ref="H29:H30"/>
    <mergeCell ref="H31:H32"/>
    <mergeCell ref="H33:H34"/>
    <mergeCell ref="H35:H36"/>
    <mergeCell ref="H37:H38"/>
    <mergeCell ref="H39:H40"/>
    <mergeCell ref="H41:H42"/>
    <mergeCell ref="H43:H44"/>
    <mergeCell ref="H45:H46"/>
    <mergeCell ref="H47:H48"/>
    <mergeCell ref="H49:H50"/>
    <mergeCell ref="H51:H52"/>
    <mergeCell ref="H53:H54"/>
    <mergeCell ref="H55:H56"/>
    <mergeCell ref="H57:H58"/>
    <mergeCell ref="H59:H60"/>
    <mergeCell ref="H61:H62"/>
    <mergeCell ref="H63:H64"/>
    <mergeCell ref="H65:H66"/>
    <mergeCell ref="H67:H68"/>
    <mergeCell ref="H69:H70"/>
    <mergeCell ref="H71:H72"/>
    <mergeCell ref="H73:H74"/>
    <mergeCell ref="H75:H76"/>
    <mergeCell ref="H77:H78"/>
    <mergeCell ref="H79:H80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I22:I23"/>
    <mergeCell ref="I24:I25"/>
    <mergeCell ref="I26:I27"/>
    <mergeCell ref="I28:I29"/>
    <mergeCell ref="I30:I31"/>
    <mergeCell ref="I32:I33"/>
    <mergeCell ref="I34:I35"/>
    <mergeCell ref="I36:I37"/>
    <mergeCell ref="I38:I39"/>
    <mergeCell ref="I40:I41"/>
    <mergeCell ref="I42:I43"/>
    <mergeCell ref="I44:I45"/>
    <mergeCell ref="I46:I47"/>
    <mergeCell ref="I48:I49"/>
    <mergeCell ref="I50:I51"/>
    <mergeCell ref="I52:I53"/>
    <mergeCell ref="I54:I55"/>
    <mergeCell ref="I56:I57"/>
    <mergeCell ref="I58:I59"/>
    <mergeCell ref="I60:I61"/>
    <mergeCell ref="I62:I63"/>
    <mergeCell ref="I64:I65"/>
    <mergeCell ref="I66:I67"/>
    <mergeCell ref="I68:I69"/>
    <mergeCell ref="I70:I71"/>
    <mergeCell ref="I72:I73"/>
    <mergeCell ref="I74:I75"/>
    <mergeCell ref="I76:I77"/>
    <mergeCell ref="I78:I79"/>
    <mergeCell ref="I80:I81"/>
    <mergeCell ref="I82:I83"/>
    <mergeCell ref="K4:K5"/>
    <mergeCell ref="K6:K7"/>
    <mergeCell ref="K8:K9"/>
    <mergeCell ref="K52:K53"/>
    <mergeCell ref="K54:K55"/>
    <mergeCell ref="K56:K57"/>
    <mergeCell ref="K58:K59"/>
    <mergeCell ref="K60:K61"/>
    <mergeCell ref="K62:K63"/>
    <mergeCell ref="K64:K65"/>
    <mergeCell ref="K66:K67"/>
    <mergeCell ref="K68:K69"/>
    <mergeCell ref="K70:K71"/>
    <mergeCell ref="K72:K73"/>
    <mergeCell ref="K74:K75"/>
    <mergeCell ref="K76:K77"/>
    <mergeCell ref="K78:K79"/>
    <mergeCell ref="K80:K81"/>
    <mergeCell ref="K82:K83"/>
  </mergeCells>
  <phoneticPr fontId="13" type="noConversion"/>
  <pageMargins left="0.69930555555555596" right="0.69930555555555596" top="0.75" bottom="0.75" header="0.3" footer="0.3"/>
  <pageSetup paperSize="9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"/>
  <sheetViews>
    <sheetView workbookViewId="0">
      <selection activeCell="K15" sqref="K15"/>
    </sheetView>
  </sheetViews>
  <sheetFormatPr defaultColWidth="9" defaultRowHeight="14.25" x14ac:dyDescent="0.15"/>
  <cols>
    <col min="1" max="1" width="5.375" customWidth="1"/>
    <col min="2" max="2" width="10.75" customWidth="1"/>
    <col min="3" max="3" width="8.5" customWidth="1"/>
    <col min="4" max="4" width="6.375" customWidth="1"/>
    <col min="5" max="5" width="6.5" customWidth="1"/>
    <col min="6" max="6" width="12.625" customWidth="1"/>
    <col min="7" max="7" width="14.875" customWidth="1"/>
    <col min="8" max="8" width="14" customWidth="1"/>
    <col min="9" max="9" width="13.875" customWidth="1"/>
  </cols>
  <sheetData>
    <row r="1" spans="1:9" x14ac:dyDescent="0.15">
      <c r="A1" s="187" t="s">
        <v>80</v>
      </c>
      <c r="B1" s="188"/>
      <c r="C1" s="188"/>
      <c r="D1" s="188"/>
      <c r="E1" s="188"/>
      <c r="F1" s="188"/>
      <c r="G1" s="188"/>
      <c r="H1" s="188"/>
      <c r="I1" s="189"/>
    </row>
    <row r="2" spans="1:9" x14ac:dyDescent="0.15">
      <c r="A2" s="190"/>
      <c r="B2" s="191"/>
      <c r="C2" s="191"/>
      <c r="D2" s="191"/>
      <c r="E2" s="191"/>
      <c r="F2" s="191"/>
      <c r="G2" s="191"/>
      <c r="H2" s="191"/>
      <c r="I2" s="192"/>
    </row>
    <row r="3" spans="1:9" ht="19.5" customHeight="1" x14ac:dyDescent="0.15">
      <c r="A3" s="194" t="s">
        <v>81</v>
      </c>
      <c r="B3" s="13" t="s">
        <v>82</v>
      </c>
      <c r="C3" s="13" t="s">
        <v>83</v>
      </c>
      <c r="D3" s="13" t="s">
        <v>84</v>
      </c>
      <c r="E3" s="194" t="s">
        <v>85</v>
      </c>
      <c r="F3" s="193" t="s">
        <v>86</v>
      </c>
      <c r="G3" s="193"/>
      <c r="H3" s="193" t="s">
        <v>87</v>
      </c>
      <c r="I3" s="193"/>
    </row>
    <row r="4" spans="1:9" x14ac:dyDescent="0.15">
      <c r="A4" s="194"/>
      <c r="B4" s="13" t="s">
        <v>88</v>
      </c>
      <c r="C4" s="14" t="s">
        <v>89</v>
      </c>
      <c r="D4" s="13" t="s">
        <v>90</v>
      </c>
      <c r="E4" s="194"/>
      <c r="F4" s="13" t="s">
        <v>91</v>
      </c>
      <c r="G4" s="13" t="s">
        <v>92</v>
      </c>
      <c r="H4" s="14" t="s">
        <v>93</v>
      </c>
      <c r="I4" s="14" t="s">
        <v>94</v>
      </c>
    </row>
    <row r="5" spans="1:9" ht="18.75" x14ac:dyDescent="0.3">
      <c r="A5" s="14" t="s">
        <v>95</v>
      </c>
      <c r="B5" s="14">
        <v>2</v>
      </c>
      <c r="C5" s="14" t="s">
        <v>96</v>
      </c>
      <c r="D5" s="14" t="s">
        <v>97</v>
      </c>
      <c r="E5" s="14" t="s">
        <v>98</v>
      </c>
      <c r="F5" s="14" t="s">
        <v>99</v>
      </c>
      <c r="G5" s="14" t="s">
        <v>99</v>
      </c>
      <c r="H5" s="14" t="s">
        <v>100</v>
      </c>
      <c r="I5" s="14" t="s">
        <v>101</v>
      </c>
    </row>
    <row r="6" spans="1:9" ht="18.75" x14ac:dyDescent="0.3">
      <c r="A6" s="194" t="s">
        <v>102</v>
      </c>
      <c r="B6" s="194">
        <v>6</v>
      </c>
      <c r="C6" s="194" t="s">
        <v>103</v>
      </c>
      <c r="D6" s="14" t="s">
        <v>97</v>
      </c>
      <c r="E6" s="14" t="s">
        <v>98</v>
      </c>
      <c r="F6" s="194" t="s">
        <v>99</v>
      </c>
      <c r="G6" s="14" t="s">
        <v>104</v>
      </c>
      <c r="H6" s="194" t="s">
        <v>105</v>
      </c>
      <c r="I6" s="194" t="s">
        <v>106</v>
      </c>
    </row>
    <row r="7" spans="1:9" ht="18.75" x14ac:dyDescent="0.3">
      <c r="A7" s="194"/>
      <c r="B7" s="194"/>
      <c r="C7" s="194"/>
      <c r="D7" s="14" t="s">
        <v>107</v>
      </c>
      <c r="E7" s="14" t="s">
        <v>108</v>
      </c>
      <c r="F7" s="194"/>
      <c r="G7" s="14" t="s">
        <v>99</v>
      </c>
      <c r="H7" s="194"/>
      <c r="I7" s="194"/>
    </row>
    <row r="8" spans="1:9" ht="18.75" x14ac:dyDescent="0.3">
      <c r="A8" s="14" t="s">
        <v>109</v>
      </c>
      <c r="B8" s="14">
        <v>10</v>
      </c>
      <c r="C8" s="14" t="s">
        <v>110</v>
      </c>
      <c r="D8" s="14" t="s">
        <v>107</v>
      </c>
      <c r="E8" s="14" t="s">
        <v>108</v>
      </c>
      <c r="F8" s="14" t="s">
        <v>99</v>
      </c>
      <c r="G8" s="14" t="s">
        <v>104</v>
      </c>
      <c r="H8" s="14" t="s">
        <v>111</v>
      </c>
      <c r="I8" s="14" t="s">
        <v>112</v>
      </c>
    </row>
    <row r="9" spans="1:9" ht="18.75" x14ac:dyDescent="0.3">
      <c r="A9" s="14" t="s">
        <v>113</v>
      </c>
      <c r="B9" s="14">
        <v>15</v>
      </c>
      <c r="C9" s="14" t="s">
        <v>96</v>
      </c>
      <c r="D9" s="14" t="s">
        <v>107</v>
      </c>
      <c r="E9" s="14" t="s">
        <v>114</v>
      </c>
      <c r="F9" s="14" t="s">
        <v>99</v>
      </c>
      <c r="G9" s="14" t="s">
        <v>104</v>
      </c>
      <c r="H9" s="14" t="s">
        <v>115</v>
      </c>
      <c r="I9" s="14" t="s">
        <v>96</v>
      </c>
    </row>
    <row r="10" spans="1:9" ht="18.75" x14ac:dyDescent="0.3">
      <c r="A10" s="14" t="s">
        <v>116</v>
      </c>
      <c r="B10" s="14">
        <v>20</v>
      </c>
      <c r="C10" s="14" t="s">
        <v>117</v>
      </c>
      <c r="D10" s="14" t="s">
        <v>118</v>
      </c>
      <c r="E10" s="14" t="s">
        <v>96</v>
      </c>
      <c r="F10" s="14" t="s">
        <v>99</v>
      </c>
      <c r="G10" s="14" t="s">
        <v>104</v>
      </c>
      <c r="H10" s="14" t="s">
        <v>119</v>
      </c>
      <c r="I10" s="14" t="s">
        <v>120</v>
      </c>
    </row>
    <row r="11" spans="1:9" x14ac:dyDescent="0.15">
      <c r="H11" s="15"/>
      <c r="I11" s="15"/>
    </row>
  </sheetData>
  <mergeCells count="11">
    <mergeCell ref="A1:I2"/>
    <mergeCell ref="F3:G3"/>
    <mergeCell ref="H3:I3"/>
    <mergeCell ref="A3:A4"/>
    <mergeCell ref="A6:A7"/>
    <mergeCell ref="B6:B7"/>
    <mergeCell ref="C6:C7"/>
    <mergeCell ref="E3:E4"/>
    <mergeCell ref="F6:F7"/>
    <mergeCell ref="H6:H7"/>
    <mergeCell ref="I6:I7"/>
  </mergeCells>
  <phoneticPr fontId="13" type="noConversion"/>
  <pageMargins left="0" right="0" top="0.98402777777777795" bottom="0.98402777777777795" header="0.51180555555555596" footer="0.51180555555555596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一测站观测记录表计算</vt:lpstr>
      <vt:lpstr>闭合水准路线高程平差计算</vt:lpstr>
      <vt:lpstr>水准测量主要技术要求</vt:lpstr>
    </vt:vector>
  </TitlesOfParts>
  <Company>铁十局青岛分公司陕西107项目部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黑豆-言西</dc:creator>
  <cp:lastModifiedBy>Sky123.Org</cp:lastModifiedBy>
  <cp:lastPrinted>2007-08-26T13:16:00Z</cp:lastPrinted>
  <dcterms:created xsi:type="dcterms:W3CDTF">2007-07-27T03:49:00Z</dcterms:created>
  <dcterms:modified xsi:type="dcterms:W3CDTF">2017-03-11T14:11:49Z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2052-9.1.0.5012</vt:lpwstr>
  </property>
</Properties>
</file>