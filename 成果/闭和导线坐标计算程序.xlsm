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225" windowWidth="14745" windowHeight="8835"/>
  </bookViews>
  <sheets>
    <sheet name="Sheet1" sheetId="1" r:id="rId1"/>
    <sheet name="Sheet2" sheetId="2" r:id="rId2"/>
  </sheets>
  <definedNames>
    <definedName name="_xlnm.Print_Area" localSheetId="0">Sheet1!$A$1:$P$63</definedName>
  </definedNames>
  <calcPr calcId="144525" calcMode="manual"/>
</workbook>
</file>

<file path=xl/calcChain.xml><?xml version="1.0" encoding="utf-8"?>
<calcChain xmlns="http://schemas.openxmlformats.org/spreadsheetml/2006/main">
  <c r="G13" i="1" l="1"/>
</calcChain>
</file>

<file path=xl/sharedStrings.xml><?xml version="1.0" encoding="utf-8"?>
<sst xmlns="http://schemas.openxmlformats.org/spreadsheetml/2006/main" count="26" uniqueCount="24">
  <si>
    <t>和</t>
    <phoneticPr fontId="1" type="noConversion"/>
  </si>
  <si>
    <t>角度改正数</t>
    <phoneticPr fontId="1" type="noConversion"/>
  </si>
  <si>
    <t>全长相对闭和差</t>
    <phoneticPr fontId="1" type="noConversion"/>
  </si>
  <si>
    <r>
      <t>全长闭和差</t>
    </r>
    <r>
      <rPr>
        <sz val="12"/>
        <rFont val="Times New Roman"/>
        <family val="1"/>
      </rPr>
      <t>(m)</t>
    </r>
    <phoneticPr fontId="1" type="noConversion"/>
  </si>
  <si>
    <t>点号</t>
    <phoneticPr fontId="1" type="noConversion"/>
  </si>
  <si>
    <t>°</t>
    <phoneticPr fontId="1" type="noConversion"/>
  </si>
  <si>
    <t>′</t>
    <phoneticPr fontId="1" type="noConversion"/>
  </si>
  <si>
    <t>″</t>
    <phoneticPr fontId="1" type="noConversion"/>
  </si>
  <si>
    <t>X(m)</t>
    <phoneticPr fontId="1" type="noConversion"/>
  </si>
  <si>
    <r>
      <t>限差</t>
    </r>
    <r>
      <rPr>
        <sz val="9"/>
        <rFont val="Times New Roman"/>
        <family val="1"/>
      </rPr>
      <t>(</t>
    </r>
    <r>
      <rPr>
        <sz val="9"/>
        <rFont val="宋体"/>
        <charset val="134"/>
      </rPr>
      <t>″</t>
    </r>
    <r>
      <rPr>
        <sz val="9"/>
        <rFont val="Times New Roman"/>
        <family val="1"/>
      </rPr>
      <t>)</t>
    </r>
    <phoneticPr fontId="1" type="noConversion"/>
  </si>
  <si>
    <r>
      <t>已知α</t>
    </r>
    <r>
      <rPr>
        <sz val="9"/>
        <rFont val="Times New Roman"/>
        <family val="1"/>
      </rPr>
      <t>1</t>
    </r>
    <phoneticPr fontId="1" type="noConversion"/>
  </si>
  <si>
    <r>
      <t>观测角</t>
    </r>
    <r>
      <rPr>
        <sz val="9"/>
        <rFont val="Times New Roman"/>
        <family val="1"/>
      </rPr>
      <t>(°)</t>
    </r>
    <phoneticPr fontId="1" type="noConversion"/>
  </si>
  <si>
    <r>
      <t>坐标方位角</t>
    </r>
    <r>
      <rPr>
        <sz val="9"/>
        <rFont val="Times New Roman"/>
        <family val="1"/>
      </rPr>
      <t>(°)</t>
    </r>
    <phoneticPr fontId="1" type="noConversion"/>
  </si>
  <si>
    <r>
      <t>改正后的角</t>
    </r>
    <r>
      <rPr>
        <sz val="9"/>
        <rFont val="Times New Roman"/>
        <family val="1"/>
      </rPr>
      <t>(°)</t>
    </r>
    <phoneticPr fontId="1" type="noConversion"/>
  </si>
  <si>
    <r>
      <t>距离</t>
    </r>
    <r>
      <rPr>
        <sz val="9"/>
        <rFont val="Times New Roman"/>
        <family val="1"/>
      </rPr>
      <t>(m)</t>
    </r>
    <phoneticPr fontId="1" type="noConversion"/>
  </si>
  <si>
    <r>
      <t>Δ</t>
    </r>
    <r>
      <rPr>
        <sz val="9"/>
        <rFont val="Times New Roman"/>
        <family val="1"/>
      </rPr>
      <t>X(M)</t>
    </r>
    <phoneticPr fontId="1" type="noConversion"/>
  </si>
  <si>
    <r>
      <t>Δ</t>
    </r>
    <r>
      <rPr>
        <sz val="9"/>
        <rFont val="Times New Roman"/>
        <family val="1"/>
      </rPr>
      <t>Y(M)</t>
    </r>
    <phoneticPr fontId="1" type="noConversion"/>
  </si>
  <si>
    <t>Y(m)</t>
    <phoneticPr fontId="1" type="noConversion"/>
  </si>
  <si>
    <r>
      <t>角度闭和差</t>
    </r>
    <r>
      <rPr>
        <sz val="9"/>
        <rFont val="Times New Roman"/>
        <family val="1"/>
      </rPr>
      <t>(</t>
    </r>
    <r>
      <rPr>
        <sz val="9"/>
        <rFont val="宋体"/>
        <charset val="134"/>
      </rPr>
      <t>度</t>
    </r>
    <r>
      <rPr>
        <sz val="9"/>
        <rFont val="Times New Roman"/>
        <family val="1"/>
      </rPr>
      <t>)</t>
    </r>
    <phoneticPr fontId="1" type="noConversion"/>
  </si>
  <si>
    <r>
      <t>角度闭和差</t>
    </r>
    <r>
      <rPr>
        <sz val="9"/>
        <rFont val="Times New Roman"/>
        <family val="1"/>
      </rPr>
      <t>(</t>
    </r>
    <r>
      <rPr>
        <sz val="9"/>
        <rFont val="宋体"/>
        <charset val="134"/>
      </rPr>
      <t>秒</t>
    </r>
    <r>
      <rPr>
        <sz val="9"/>
        <rFont val="Times New Roman"/>
        <family val="1"/>
      </rPr>
      <t>)</t>
    </r>
    <phoneticPr fontId="1" type="noConversion"/>
  </si>
  <si>
    <r>
      <t>表</t>
    </r>
    <r>
      <rPr>
        <b/>
        <sz val="16"/>
        <rFont val="Times New Roman"/>
        <family val="1"/>
      </rPr>
      <t xml:space="preserve">     </t>
    </r>
    <r>
      <rPr>
        <b/>
        <sz val="16"/>
        <rFont val="宋体"/>
        <charset val="134"/>
      </rPr>
      <t>闭和导线坐标计算表</t>
    </r>
    <phoneticPr fontId="1" type="noConversion"/>
  </si>
  <si>
    <t>1/2000</t>
    <phoneticPr fontId="1" type="noConversion"/>
  </si>
  <si>
    <t>&lt;</t>
    <phoneticPr fontId="1" type="noConversion"/>
  </si>
  <si>
    <t>1/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</si>
</sst>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2" x14ac:knownFonts="1">
    <font>
      <sz val="12"/>
      <name val="宋体"/>
      <charset val="134"/>
    </font>
    <font>
      <sz val="9"/>
      <name val="宋体"/>
      <charset val="134"/>
    </font>
    <font>
      <sz val="12"/>
      <name val="Times New Roman"/>
      <family val="1"/>
    </font>
    <font>
      <sz val="11"/>
      <name val="宋体"/>
      <charset val="134"/>
    </font>
    <font>
      <sz val="11"/>
      <name val="Times New Roman"/>
      <family val="1"/>
    </font>
    <font>
      <sz val="9"/>
      <name val="Times New Roman"/>
      <family val="1"/>
    </font>
    <font>
      <b/>
      <i/>
      <u/>
      <sz val="11"/>
      <name val="Times New Roman"/>
      <family val="1"/>
    </font>
    <font>
      <sz val="10"/>
      <name val="Times New Roman"/>
      <family val="1"/>
    </font>
    <font>
      <sz val="11"/>
      <color indexed="12"/>
      <name val="Times New Roman"/>
      <family val="1"/>
    </font>
    <font>
      <sz val="10"/>
      <color indexed="12"/>
      <name val="Times New Roman"/>
      <family val="1"/>
    </font>
    <font>
      <b/>
      <sz val="16"/>
      <name val="宋体"/>
      <charset val="134"/>
    </font>
    <font>
      <b/>
      <sz val="16"/>
      <name val="Times New Roman"/>
      <family val="1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1" fillId="0" borderId="0" xfId="0" applyFont="1" applyBorder="1" applyAlignment="1">
      <alignment horizontal="center"/>
    </xf>
    <xf numFmtId="0" fontId="2" fillId="0" borderId="0" xfId="0" applyFont="1" applyBorder="1"/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2" fillId="0" borderId="5" xfId="0" applyFont="1" applyBorder="1"/>
    <xf numFmtId="0" fontId="4" fillId="0" borderId="1" xfId="0" applyFont="1" applyBorder="1" applyAlignment="1">
      <alignment horizontal="right"/>
    </xf>
    <xf numFmtId="0" fontId="4" fillId="0" borderId="1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1" fillId="0" borderId="6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6" xfId="0" applyFont="1" applyFill="1" applyBorder="1"/>
    <xf numFmtId="0" fontId="8" fillId="0" borderId="6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6" xfId="0" applyFont="1" applyBorder="1"/>
    <xf numFmtId="0" fontId="8" fillId="0" borderId="1" xfId="0" applyNumberFormat="1" applyFont="1" applyBorder="1" applyAlignment="1">
      <alignment horizontal="center"/>
    </xf>
    <xf numFmtId="176" fontId="8" fillId="0" borderId="6" xfId="0" applyNumberFormat="1" applyFont="1" applyFill="1" applyBorder="1" applyAlignment="1">
      <alignment horizontal="center"/>
    </xf>
    <xf numFmtId="0" fontId="4" fillId="0" borderId="7" xfId="0" applyFont="1" applyBorder="1" applyAlignment="1"/>
    <xf numFmtId="0" fontId="2" fillId="0" borderId="7" xfId="0" applyFont="1" applyBorder="1" applyAlignment="1"/>
    <xf numFmtId="0" fontId="1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</xdr:row>
          <xdr:rowOff>28575</xdr:rowOff>
        </xdr:from>
        <xdr:to>
          <xdr:col>16</xdr:col>
          <xdr:colOff>19050</xdr:colOff>
          <xdr:row>2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</xdr:row>
          <xdr:rowOff>180975</xdr:rowOff>
        </xdr:from>
        <xdr:to>
          <xdr:col>16</xdr:col>
          <xdr:colOff>28575</xdr:colOff>
          <xdr:row>5</xdr:row>
          <xdr:rowOff>95250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1"/>
  <sheetViews>
    <sheetView tabSelected="1" view="pageBreakPreview" zoomScale="91" zoomScaleNormal="100" workbookViewId="0">
      <selection activeCell="R13" sqref="R13"/>
    </sheetView>
  </sheetViews>
  <sheetFormatPr defaultRowHeight="15.75" x14ac:dyDescent="0.25"/>
  <cols>
    <col min="1" max="1" width="5.5" style="1" customWidth="1"/>
    <col min="2" max="3" width="3.875" style="1" customWidth="1"/>
    <col min="4" max="4" width="3.75" style="1" customWidth="1"/>
    <col min="5" max="5" width="10.125" style="1" customWidth="1"/>
    <col min="6" max="6" width="10.75" style="1" customWidth="1"/>
    <col min="7" max="8" width="11" style="1" customWidth="1"/>
    <col min="9" max="9" width="8.375" style="1" customWidth="1"/>
    <col min="10" max="10" width="8.625" style="1" customWidth="1"/>
    <col min="11" max="11" width="8.875" style="1" customWidth="1"/>
    <col min="12" max="12" width="9" style="1"/>
    <col min="13" max="13" width="8.625" style="1" customWidth="1"/>
    <col min="14" max="14" width="8.25" style="1" customWidth="1"/>
    <col min="15" max="15" width="8.5" style="1" customWidth="1"/>
    <col min="16" max="16384" width="9" style="1"/>
  </cols>
  <sheetData>
    <row r="1" spans="1:15" ht="21" x14ac:dyDescent="0.3">
      <c r="A1" s="32" t="s">
        <v>20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x14ac:dyDescent="0.25">
      <c r="A2" s="16" t="s">
        <v>4</v>
      </c>
      <c r="B2" s="17" t="s">
        <v>5</v>
      </c>
      <c r="C2" s="16" t="s">
        <v>6</v>
      </c>
      <c r="D2" s="16" t="s">
        <v>7</v>
      </c>
      <c r="E2" s="16" t="s">
        <v>11</v>
      </c>
      <c r="F2" s="16" t="s">
        <v>1</v>
      </c>
      <c r="G2" s="16" t="s">
        <v>13</v>
      </c>
      <c r="H2" s="16" t="s">
        <v>12</v>
      </c>
      <c r="I2" s="16" t="s">
        <v>14</v>
      </c>
      <c r="J2" s="16" t="s">
        <v>15</v>
      </c>
      <c r="K2" s="16" t="s">
        <v>16</v>
      </c>
      <c r="L2" s="16" t="s">
        <v>15</v>
      </c>
      <c r="M2" s="16" t="s">
        <v>16</v>
      </c>
      <c r="N2" s="17" t="s">
        <v>8</v>
      </c>
      <c r="O2" s="17" t="s">
        <v>17</v>
      </c>
    </row>
    <row r="3" spans="1:15" x14ac:dyDescent="0.25">
      <c r="A3" s="16">
        <v>1</v>
      </c>
      <c r="B3" s="17">
        <v>2</v>
      </c>
      <c r="C3" s="16">
        <v>3</v>
      </c>
      <c r="D3" s="16">
        <v>4</v>
      </c>
      <c r="E3" s="16">
        <v>5</v>
      </c>
      <c r="F3" s="16">
        <v>6</v>
      </c>
      <c r="G3" s="16">
        <v>7</v>
      </c>
      <c r="H3" s="16">
        <v>8</v>
      </c>
      <c r="I3" s="16">
        <v>9</v>
      </c>
      <c r="J3" s="16">
        <v>10</v>
      </c>
      <c r="K3" s="16">
        <v>11</v>
      </c>
      <c r="L3" s="16">
        <v>12</v>
      </c>
      <c r="M3" s="16">
        <v>13</v>
      </c>
      <c r="N3" s="17">
        <v>14</v>
      </c>
      <c r="O3" s="17">
        <v>15</v>
      </c>
    </row>
    <row r="4" spans="1:15" x14ac:dyDescent="0.25">
      <c r="A4" s="18">
        <v>1</v>
      </c>
      <c r="B4" s="19"/>
      <c r="C4" s="19"/>
      <c r="D4" s="19"/>
      <c r="E4" s="18"/>
      <c r="F4" s="18"/>
      <c r="G4" s="18"/>
      <c r="H4" s="20">
        <v>125.5</v>
      </c>
      <c r="I4" s="18">
        <v>105.22</v>
      </c>
      <c r="J4" s="20">
        <v>-61.10156179925913</v>
      </c>
      <c r="K4" s="20">
        <v>85.661237124450381</v>
      </c>
      <c r="L4" s="20">
        <v>-61.125488028220573</v>
      </c>
      <c r="M4" s="20">
        <v>85.680321472861323</v>
      </c>
      <c r="N4" s="21">
        <v>506.32100000000003</v>
      </c>
      <c r="O4" s="21">
        <v>215.65199999999999</v>
      </c>
    </row>
    <row r="5" spans="1:15" x14ac:dyDescent="0.25">
      <c r="A5" s="18">
        <v>2</v>
      </c>
      <c r="B5" s="18">
        <v>107</v>
      </c>
      <c r="C5" s="18">
        <v>48</v>
      </c>
      <c r="D5" s="18">
        <v>30</v>
      </c>
      <c r="E5" s="20">
        <v>107.80833333333334</v>
      </c>
      <c r="F5" s="20">
        <v>3.47137451171875E-3</v>
      </c>
      <c r="G5" s="20">
        <v>107.81180470784506</v>
      </c>
      <c r="H5" s="20">
        <v>53.311804707845056</v>
      </c>
      <c r="I5" s="18">
        <v>80.180000000000007</v>
      </c>
      <c r="J5" s="20">
        <v>47.90433930151702</v>
      </c>
      <c r="K5" s="20">
        <v>64.29624153933986</v>
      </c>
      <c r="L5" s="20">
        <v>47.886106978402324</v>
      </c>
      <c r="M5" s="20">
        <v>64.310784240875591</v>
      </c>
      <c r="N5" s="20">
        <v>445.19551197177947</v>
      </c>
      <c r="O5" s="20">
        <v>301.33232147286128</v>
      </c>
    </row>
    <row r="6" spans="1:15" x14ac:dyDescent="0.25">
      <c r="A6" s="18">
        <v>3</v>
      </c>
      <c r="B6" s="18">
        <v>73</v>
      </c>
      <c r="C6" s="18">
        <v>0</v>
      </c>
      <c r="D6" s="18">
        <v>20</v>
      </c>
      <c r="E6" s="20">
        <v>73.00555555555556</v>
      </c>
      <c r="F6" s="20">
        <v>3.47137451171875E-3</v>
      </c>
      <c r="G6" s="20">
        <v>73.009026930067279</v>
      </c>
      <c r="H6" s="20">
        <v>306.32083163791231</v>
      </c>
      <c r="I6" s="18">
        <v>129.34</v>
      </c>
      <c r="J6" s="20">
        <v>76.608869179897923</v>
      </c>
      <c r="K6" s="20">
        <v>-104.21092439364159</v>
      </c>
      <c r="L6" s="20">
        <v>76.579458246103272</v>
      </c>
      <c r="M6" s="20">
        <v>-104.18746526397545</v>
      </c>
      <c r="N6" s="20">
        <v>493.08161895018179</v>
      </c>
      <c r="O6" s="20">
        <v>365.64310571373687</v>
      </c>
    </row>
    <row r="7" spans="1:15" x14ac:dyDescent="0.25">
      <c r="A7" s="18">
        <v>4</v>
      </c>
      <c r="B7" s="18">
        <v>89</v>
      </c>
      <c r="C7" s="18">
        <v>33</v>
      </c>
      <c r="D7" s="18">
        <v>50</v>
      </c>
      <c r="E7" s="20">
        <v>89.563888888888883</v>
      </c>
      <c r="F7" s="20">
        <v>3.47137451171875E-3</v>
      </c>
      <c r="G7" s="20">
        <v>89.567360263400602</v>
      </c>
      <c r="H7" s="20">
        <v>215.88819190131289</v>
      </c>
      <c r="I7" s="18">
        <v>78.16</v>
      </c>
      <c r="J7" s="20">
        <v>-63.322301509370313</v>
      </c>
      <c r="K7" s="20">
        <v>-45.817810200362018</v>
      </c>
      <c r="L7" s="20">
        <v>-63.340074499824851</v>
      </c>
      <c r="M7" s="20">
        <v>-45.803633877687631</v>
      </c>
      <c r="N7" s="20">
        <v>569.66107719628508</v>
      </c>
      <c r="O7" s="20">
        <v>261.4556404497614</v>
      </c>
    </row>
    <row r="8" spans="1:15" x14ac:dyDescent="0.25">
      <c r="A8" s="18">
        <v>1</v>
      </c>
      <c r="B8" s="18">
        <v>89</v>
      </c>
      <c r="C8" s="18">
        <v>36</v>
      </c>
      <c r="D8" s="18">
        <v>30</v>
      </c>
      <c r="E8" s="20">
        <v>89.608333333333334</v>
      </c>
      <c r="F8" s="20">
        <v>3.47137451171875E-3</v>
      </c>
      <c r="G8" s="20">
        <v>89.611804707845053</v>
      </c>
      <c r="H8" s="20">
        <v>125.5</v>
      </c>
      <c r="I8" s="18"/>
      <c r="J8" s="18"/>
      <c r="K8" s="18"/>
      <c r="L8" s="18"/>
      <c r="M8" s="18"/>
      <c r="N8" s="21">
        <v>506.32100269646025</v>
      </c>
      <c r="O8" s="21">
        <v>215.65200657207379</v>
      </c>
    </row>
    <row r="9" spans="1:15" x14ac:dyDescent="0.25">
      <c r="A9" s="18">
        <v>2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9"/>
    </row>
    <row r="10" spans="1:15" x14ac:dyDescent="0.25">
      <c r="A10" s="22" t="s">
        <v>0</v>
      </c>
      <c r="B10" s="18"/>
      <c r="C10" s="18"/>
      <c r="D10" s="18"/>
      <c r="E10" s="20">
        <v>359.98611450195312</v>
      </c>
      <c r="F10" s="20">
        <v>1.3885498046875E-2</v>
      </c>
      <c r="G10" s="20">
        <v>360</v>
      </c>
      <c r="H10" s="18"/>
      <c r="I10" s="29">
        <v>392.89999389648437</v>
      </c>
      <c r="J10" s="20">
        <v>8.9342474937438965E-2</v>
      </c>
      <c r="K10" s="20">
        <v>-7.1262501180171967E-2</v>
      </c>
      <c r="L10" s="20">
        <v>1.9467083802737761E-6</v>
      </c>
      <c r="M10" s="20">
        <v>4.5805641093465965E-6</v>
      </c>
      <c r="N10" s="18"/>
      <c r="O10" s="19"/>
    </row>
    <row r="11" spans="1:15" x14ac:dyDescent="0.25">
      <c r="A11" s="23" t="s">
        <v>10</v>
      </c>
      <c r="B11" s="24">
        <v>125</v>
      </c>
      <c r="C11" s="24">
        <v>30</v>
      </c>
      <c r="D11" s="24">
        <v>0</v>
      </c>
      <c r="E11" s="25">
        <v>125.5</v>
      </c>
      <c r="F11" s="26"/>
      <c r="G11" s="27"/>
      <c r="H11" s="26"/>
      <c r="I11" s="26"/>
      <c r="J11" s="26"/>
      <c r="K11" s="26"/>
      <c r="L11" s="26"/>
      <c r="M11" s="26"/>
      <c r="N11" s="26"/>
      <c r="O11" s="27"/>
    </row>
    <row r="12" spans="1:15" x14ac:dyDescent="0.25">
      <c r="A12" s="7"/>
      <c r="B12" s="3"/>
      <c r="C12" s="3"/>
      <c r="D12" s="3"/>
      <c r="E12" s="2" t="s">
        <v>18</v>
      </c>
      <c r="F12" s="14">
        <v>-1.3885498046875E-2</v>
      </c>
      <c r="G12" s="2" t="s">
        <v>9</v>
      </c>
      <c r="H12" s="2" t="s">
        <v>3</v>
      </c>
      <c r="I12" s="14">
        <v>0.11428220291191853</v>
      </c>
      <c r="J12" s="3"/>
      <c r="K12" s="3"/>
      <c r="L12" s="3"/>
      <c r="M12" s="3"/>
      <c r="N12" s="3"/>
      <c r="O12" s="6"/>
    </row>
    <row r="13" spans="1:15" ht="16.5" thickBot="1" x14ac:dyDescent="0.3">
      <c r="A13" s="8"/>
      <c r="B13" s="9"/>
      <c r="C13" s="9"/>
      <c r="D13" s="9"/>
      <c r="E13" s="4" t="s">
        <v>19</v>
      </c>
      <c r="F13" s="28">
        <v>-50</v>
      </c>
      <c r="G13" s="10">
        <f>60*SQRT(4)</f>
        <v>120</v>
      </c>
      <c r="H13" s="4" t="s">
        <v>2</v>
      </c>
      <c r="I13" s="12" t="s">
        <v>23</v>
      </c>
      <c r="J13" s="15">
        <v>3437.9805768996839</v>
      </c>
      <c r="K13" s="5" t="s">
        <v>22</v>
      </c>
      <c r="L13" s="13" t="s">
        <v>21</v>
      </c>
      <c r="M13" s="9"/>
      <c r="N13" s="9"/>
      <c r="O13" s="11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0"/>
      <c r="J14" s="31"/>
      <c r="K14" s="31"/>
      <c r="L14" s="31"/>
      <c r="M14" s="31"/>
      <c r="N14" s="31"/>
      <c r="O14" s="31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21" spans="12:12" x14ac:dyDescent="0.25">
      <c r="L21" s="3"/>
    </row>
  </sheetData>
  <mergeCells count="1">
    <mergeCell ref="A1:O1"/>
  </mergeCells>
  <phoneticPr fontId="1" type="noConversion"/>
  <pageMargins left="0.75" right="0.75" top="1" bottom="1" header="0.5" footer="0.5"/>
  <pageSetup paperSize="9" scale="67" orientation="portrait" horizontalDpi="300" verticalDpi="300" r:id="rId1"/>
  <headerFooter alignWithMargins="0"/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disabled="1" autoLine="0" autoPict="0" r:id="rId5">
            <anchor moveWithCells="1">
              <from>
                <xdr:col>15</xdr:col>
                <xdr:colOff>57150</xdr:colOff>
                <xdr:row>1</xdr:row>
                <xdr:rowOff>28575</xdr:rowOff>
              </from>
              <to>
                <xdr:col>16</xdr:col>
                <xdr:colOff>19050</xdr:colOff>
                <xdr:row>2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15</xdr:col>
                <xdr:colOff>57150</xdr:colOff>
                <xdr:row>3</xdr:row>
                <xdr:rowOff>180975</xdr:rowOff>
              </from>
              <to>
                <xdr:col>16</xdr:col>
                <xdr:colOff>28575</xdr:colOff>
                <xdr:row>5</xdr:row>
                <xdr:rowOff>95250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cjw</dc:creator>
  <cp:lastModifiedBy>Sky123.Org</cp:lastModifiedBy>
  <cp:lastPrinted>2006-09-10T09:01:54Z</cp:lastPrinted>
  <dcterms:created xsi:type="dcterms:W3CDTF">2003-04-11T15:03:15Z</dcterms:created>
  <dcterms:modified xsi:type="dcterms:W3CDTF">2017-03-08T13:41:32Z</dcterms:modified>
</cp:coreProperties>
</file>