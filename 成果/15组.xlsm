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13572" windowHeight="721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C32" i="1"/>
  <c r="D32" i="1"/>
  <c r="A32" i="1"/>
  <c r="B31" i="1"/>
  <c r="C31" i="1"/>
  <c r="D31" i="1"/>
  <c r="A31" i="1"/>
  <c r="E31" i="1" l="1"/>
</calcChain>
</file>

<file path=xl/sharedStrings.xml><?xml version="1.0" encoding="utf-8"?>
<sst xmlns="http://schemas.openxmlformats.org/spreadsheetml/2006/main" count="10" uniqueCount="10">
  <si>
    <t>角点</t>
  </si>
  <si>
    <t>边点</t>
  </si>
  <si>
    <t>拐点</t>
  </si>
  <si>
    <t>中点</t>
  </si>
  <si>
    <t>加权H</t>
    <phoneticPr fontId="1" type="noConversion"/>
  </si>
  <si>
    <r>
      <t>S</t>
    </r>
    <r>
      <rPr>
        <sz val="6"/>
        <color theme="1"/>
        <rFont val="等线"/>
        <family val="3"/>
        <charset val="134"/>
        <scheme val="minor"/>
      </rPr>
      <t>挖</t>
    </r>
    <phoneticPr fontId="1" type="noConversion"/>
  </si>
  <si>
    <r>
      <t>S</t>
    </r>
    <r>
      <rPr>
        <sz val="6"/>
        <color theme="1"/>
        <rFont val="等线"/>
        <family val="3"/>
        <charset val="134"/>
        <scheme val="minor"/>
      </rPr>
      <t>填</t>
    </r>
    <phoneticPr fontId="1" type="noConversion"/>
  </si>
  <si>
    <t>边长</t>
    <phoneticPr fontId="1" type="noConversion"/>
  </si>
  <si>
    <t>输入区</t>
    <phoneticPr fontId="1" type="noConversion"/>
  </si>
  <si>
    <t>输
出
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</si>
</sst>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color theme="1"/>
      <name val="仿宋"/>
      <family val="3"/>
      <charset val="134"/>
    </font>
    <font>
      <sz val="6"/>
      <color theme="1"/>
      <name val="等线"/>
      <family val="3"/>
      <charset val="134"/>
      <scheme val="minor"/>
    </font>
    <font>
      <b/>
      <sz val="11"/>
      <color rgb="FF0000FF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0" borderId="0" xfId="0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Border="1">
      <alignment vertical="center"/>
    </xf>
    <xf numFmtId="0" fontId="0" fillId="5" borderId="0" xfId="0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8</xdr:col>
          <xdr:colOff>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等线"/>
                  <a:ea typeface="等线"/>
                </a:rPr>
                <a:t>土方计算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4"/>
  <sheetViews>
    <sheetView tabSelected="1" zoomScale="115" zoomScaleNormal="115" workbookViewId="0">
      <selection activeCell="O18" sqref="O18"/>
    </sheetView>
  </sheetViews>
  <sheetFormatPr defaultRowHeight="13.8" x14ac:dyDescent="0.25"/>
  <cols>
    <col min="1" max="1" width="14.109375" customWidth="1"/>
    <col min="2" max="2" width="14.33203125" customWidth="1"/>
    <col min="3" max="3" width="14.77734375" customWidth="1"/>
    <col min="4" max="4" width="14.21875" customWidth="1"/>
    <col min="5" max="5" width="11.88671875" customWidth="1"/>
    <col min="10" max="10" width="7.21875" customWidth="1"/>
    <col min="11" max="14" width="13.88671875" hidden="1" customWidth="1"/>
    <col min="19" max="19" width="21.6640625" customWidth="1"/>
  </cols>
  <sheetData>
    <row r="1" spans="1:14" ht="25.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</v>
      </c>
      <c r="F1" s="7"/>
      <c r="G1" s="8"/>
      <c r="H1" s="9"/>
      <c r="I1" s="20"/>
    </row>
    <row r="2" spans="1:14" x14ac:dyDescent="0.25">
      <c r="A2" s="2">
        <v>251.62</v>
      </c>
      <c r="B2" s="2">
        <v>251.56</v>
      </c>
      <c r="C2" s="2">
        <v>250.96</v>
      </c>
      <c r="D2" s="2">
        <v>251.23</v>
      </c>
      <c r="E2" s="2">
        <v>20</v>
      </c>
      <c r="F2" s="10"/>
      <c r="G2" s="11"/>
      <c r="H2" s="12"/>
      <c r="I2" s="20"/>
      <c r="K2">
        <v>0.50318181818184371</v>
      </c>
      <c r="L2">
        <v>0.44318181818184144</v>
      </c>
      <c r="M2">
        <v>-0.15681818181815288</v>
      </c>
      <c r="N2">
        <v>0.11318181818182893</v>
      </c>
    </row>
    <row r="3" spans="1:14" x14ac:dyDescent="0.25">
      <c r="A3" s="2">
        <v>251.47</v>
      </c>
      <c r="B3" s="2">
        <v>251.12</v>
      </c>
      <c r="C3" s="2"/>
      <c r="D3" s="2">
        <v>250.98</v>
      </c>
      <c r="E3" s="2"/>
      <c r="F3" s="4"/>
      <c r="G3" s="5"/>
      <c r="H3" s="6"/>
      <c r="I3" s="20"/>
      <c r="K3">
        <v>0.35318181818183803</v>
      </c>
      <c r="L3">
        <v>3.1818181818437097E-3</v>
      </c>
      <c r="N3">
        <v>-0.13681818181817107</v>
      </c>
    </row>
    <row r="4" spans="1:14" ht="15.6" customHeight="1" x14ac:dyDescent="0.25">
      <c r="A4" s="2">
        <v>251.09</v>
      </c>
      <c r="B4" s="2">
        <v>251.33</v>
      </c>
      <c r="C4" s="2"/>
      <c r="D4" s="2">
        <v>250.81</v>
      </c>
      <c r="E4" s="2"/>
      <c r="F4" s="3" t="s">
        <v>4</v>
      </c>
      <c r="G4" s="17">
        <v>251.11681818181816</v>
      </c>
      <c r="H4" s="17"/>
      <c r="I4" s="18" t="s">
        <v>9</v>
      </c>
      <c r="K4">
        <v>-2.6818181818157427E-2</v>
      </c>
      <c r="L4">
        <v>0.21318181818185167</v>
      </c>
      <c r="N4">
        <v>-0.30681818181815856</v>
      </c>
    </row>
    <row r="5" spans="1:14" x14ac:dyDescent="0.25">
      <c r="A5" s="2">
        <v>251.54</v>
      </c>
      <c r="B5" s="2">
        <v>251.04</v>
      </c>
      <c r="C5" s="2"/>
      <c r="D5" s="2">
        <v>251.43</v>
      </c>
      <c r="E5" s="2"/>
      <c r="F5" s="3"/>
      <c r="G5" s="17"/>
      <c r="H5" s="17"/>
      <c r="I5" s="18"/>
      <c r="K5">
        <v>0.4231818181818312</v>
      </c>
      <c r="L5">
        <v>-7.6818181818168796E-2</v>
      </c>
      <c r="N5">
        <v>0.31318181818184598</v>
      </c>
    </row>
    <row r="6" spans="1:14" x14ac:dyDescent="0.25">
      <c r="A6" s="2">
        <v>250.86</v>
      </c>
      <c r="B6" s="2">
        <v>251.42</v>
      </c>
      <c r="C6" s="2"/>
      <c r="D6" s="2">
        <v>250.21</v>
      </c>
      <c r="E6" s="2"/>
      <c r="F6" s="4"/>
      <c r="G6" s="5"/>
      <c r="H6" s="6"/>
      <c r="I6" s="18"/>
      <c r="K6">
        <v>-0.2568181818181472</v>
      </c>
      <c r="L6">
        <v>0.30318181818182666</v>
      </c>
      <c r="N6">
        <v>-0.90681818181815288</v>
      </c>
    </row>
    <row r="7" spans="1:14" x14ac:dyDescent="0.25">
      <c r="A7" s="2"/>
      <c r="B7" s="2">
        <v>251.18</v>
      </c>
      <c r="C7" s="2"/>
      <c r="D7" s="2"/>
      <c r="E7" s="2"/>
      <c r="F7" s="3" t="s">
        <v>6</v>
      </c>
      <c r="G7" s="17">
        <v>630.95454545450309</v>
      </c>
      <c r="H7" s="17"/>
      <c r="I7" s="18"/>
      <c r="L7">
        <v>6.3181818181845983E-2</v>
      </c>
    </row>
    <row r="8" spans="1:14" x14ac:dyDescent="0.25">
      <c r="A8" s="2"/>
      <c r="B8" s="2">
        <v>251.27</v>
      </c>
      <c r="C8" s="2"/>
      <c r="D8" s="2"/>
      <c r="E8" s="2"/>
      <c r="F8" s="3"/>
      <c r="G8" s="17"/>
      <c r="H8" s="17"/>
      <c r="I8" s="18"/>
      <c r="L8">
        <v>0.15318181818184939</v>
      </c>
    </row>
    <row r="9" spans="1:14" x14ac:dyDescent="0.25">
      <c r="A9" s="2"/>
      <c r="B9" s="2">
        <v>251.6</v>
      </c>
      <c r="C9" s="2"/>
      <c r="D9" s="2"/>
      <c r="E9" s="2"/>
      <c r="F9" s="4"/>
      <c r="G9" s="5"/>
      <c r="H9" s="6"/>
      <c r="I9" s="18"/>
      <c r="L9">
        <v>0.48318181818183348</v>
      </c>
    </row>
    <row r="10" spans="1:14" x14ac:dyDescent="0.25">
      <c r="A10" s="2"/>
      <c r="B10" s="2"/>
      <c r="C10" s="2"/>
      <c r="D10" s="2"/>
      <c r="E10" s="2"/>
      <c r="F10" s="3" t="s">
        <v>5</v>
      </c>
      <c r="G10" s="17">
        <v>630.95454545459972</v>
      </c>
      <c r="H10" s="17"/>
      <c r="I10" s="18"/>
    </row>
    <row r="11" spans="1:14" x14ac:dyDescent="0.25">
      <c r="A11" s="2"/>
      <c r="B11" s="2"/>
      <c r="C11" s="2"/>
      <c r="D11" s="2"/>
      <c r="E11" s="2"/>
      <c r="F11" s="3"/>
      <c r="G11" s="17"/>
      <c r="H11" s="17"/>
      <c r="I11" s="18"/>
    </row>
    <row r="12" spans="1:14" x14ac:dyDescent="0.25">
      <c r="A12" s="2"/>
      <c r="B12" s="2"/>
      <c r="C12" s="2"/>
      <c r="D12" s="2"/>
      <c r="E12" s="14"/>
      <c r="F12" s="21"/>
      <c r="G12" s="21"/>
      <c r="H12" s="21"/>
      <c r="I12" s="20"/>
    </row>
    <row r="13" spans="1:14" x14ac:dyDescent="0.25">
      <c r="A13" s="2"/>
      <c r="B13" s="2"/>
      <c r="C13" s="2"/>
      <c r="D13" s="2"/>
      <c r="E13" s="14"/>
      <c r="F13" s="22"/>
      <c r="G13" s="21"/>
      <c r="H13" s="21"/>
      <c r="I13" s="20"/>
    </row>
    <row r="14" spans="1:14" x14ac:dyDescent="0.25">
      <c r="A14" s="2"/>
      <c r="B14" s="2"/>
      <c r="C14" s="2"/>
      <c r="D14" s="2"/>
      <c r="E14" s="14"/>
      <c r="F14" s="22"/>
      <c r="G14" s="16"/>
      <c r="H14" s="16"/>
    </row>
    <row r="15" spans="1:14" x14ac:dyDescent="0.25">
      <c r="A15" s="2"/>
      <c r="B15" s="2"/>
      <c r="C15" s="2"/>
      <c r="D15" s="2"/>
      <c r="E15" s="14"/>
      <c r="F15" s="21"/>
      <c r="G15" s="16"/>
      <c r="H15" s="16"/>
    </row>
    <row r="16" spans="1:14" x14ac:dyDescent="0.25">
      <c r="A16" s="2"/>
      <c r="B16" s="2"/>
      <c r="C16" s="2"/>
      <c r="D16" s="2"/>
      <c r="E16" s="14"/>
      <c r="F16" s="21"/>
      <c r="G16" s="16"/>
      <c r="H16" s="16"/>
    </row>
    <row r="17" spans="1:8" x14ac:dyDescent="0.25">
      <c r="A17" s="2"/>
      <c r="B17" s="2"/>
      <c r="C17" s="2"/>
      <c r="D17" s="2"/>
      <c r="E17" s="14"/>
      <c r="F17" s="21"/>
      <c r="G17" s="16"/>
      <c r="H17" s="16"/>
    </row>
    <row r="18" spans="1:8" x14ac:dyDescent="0.25">
      <c r="A18" s="2"/>
      <c r="B18" s="2"/>
      <c r="C18" s="2"/>
      <c r="D18" s="2"/>
      <c r="E18" s="14"/>
      <c r="F18" s="21"/>
      <c r="G18" s="16"/>
      <c r="H18" s="16"/>
    </row>
    <row r="19" spans="1:8" x14ac:dyDescent="0.25">
      <c r="A19" s="2"/>
      <c r="B19" s="2"/>
      <c r="C19" s="2"/>
      <c r="D19" s="2"/>
      <c r="E19" s="14"/>
      <c r="F19" s="21"/>
      <c r="G19" s="16"/>
      <c r="H19" s="16"/>
    </row>
    <row r="20" spans="1:8" x14ac:dyDescent="0.25">
      <c r="A20" s="2"/>
      <c r="B20" s="2"/>
      <c r="C20" s="2"/>
      <c r="D20" s="2"/>
      <c r="E20" s="14"/>
      <c r="F20" s="21"/>
      <c r="G20" s="16"/>
      <c r="H20" s="16"/>
    </row>
    <row r="21" spans="1:8" x14ac:dyDescent="0.25">
      <c r="A21" s="13"/>
      <c r="B21" s="13"/>
      <c r="C21" s="13"/>
      <c r="D21" s="13"/>
      <c r="E21" s="15"/>
      <c r="F21" s="21"/>
      <c r="G21" s="16"/>
      <c r="H21" s="16"/>
    </row>
    <row r="22" spans="1:8" x14ac:dyDescent="0.25">
      <c r="A22" s="13"/>
      <c r="B22" s="13"/>
      <c r="C22" s="13"/>
      <c r="D22" s="13"/>
      <c r="E22" s="15"/>
      <c r="F22" s="21"/>
      <c r="G22" s="16"/>
      <c r="H22" s="16"/>
    </row>
    <row r="23" spans="1:8" x14ac:dyDescent="0.25">
      <c r="A23" s="13"/>
      <c r="B23" s="13"/>
      <c r="C23" s="13"/>
      <c r="D23" s="13"/>
      <c r="E23" s="15"/>
      <c r="F23" s="21"/>
      <c r="G23" s="16"/>
      <c r="H23" s="16"/>
    </row>
    <row r="24" spans="1:8" x14ac:dyDescent="0.25">
      <c r="A24" s="13"/>
      <c r="B24" s="13"/>
      <c r="C24" s="13"/>
      <c r="D24" s="13"/>
      <c r="E24" s="15"/>
      <c r="F24" s="21"/>
      <c r="G24" s="16"/>
      <c r="H24" s="16"/>
    </row>
    <row r="25" spans="1:8" x14ac:dyDescent="0.25">
      <c r="A25" s="13"/>
      <c r="B25" s="13"/>
      <c r="C25" s="13"/>
      <c r="D25" s="13"/>
      <c r="E25" s="15"/>
      <c r="F25" s="21"/>
      <c r="G25" s="16"/>
      <c r="H25" s="16"/>
    </row>
    <row r="26" spans="1:8" x14ac:dyDescent="0.25">
      <c r="A26" s="13"/>
      <c r="B26" s="13"/>
      <c r="C26" s="13"/>
      <c r="D26" s="13"/>
      <c r="E26" s="15"/>
      <c r="F26" s="21"/>
      <c r="G26" s="16"/>
      <c r="H26" s="16"/>
    </row>
    <row r="27" spans="1:8" x14ac:dyDescent="0.25">
      <c r="A27" s="13"/>
      <c r="B27" s="13"/>
      <c r="C27" s="13"/>
      <c r="D27" s="13"/>
      <c r="E27" s="15"/>
      <c r="F27" s="21"/>
      <c r="G27" s="16"/>
      <c r="H27" s="16"/>
    </row>
    <row r="28" spans="1:8" x14ac:dyDescent="0.25">
      <c r="A28" s="13"/>
      <c r="B28" s="13"/>
      <c r="C28" s="13"/>
      <c r="D28" s="13"/>
      <c r="E28" s="15"/>
      <c r="F28" s="21"/>
      <c r="G28" s="16"/>
      <c r="H28" s="16"/>
    </row>
    <row r="29" spans="1:8" x14ac:dyDescent="0.25">
      <c r="A29" s="13"/>
      <c r="B29" s="13"/>
      <c r="C29" s="13"/>
      <c r="D29" s="13"/>
      <c r="E29" s="15"/>
      <c r="F29" s="21"/>
      <c r="G29" s="16"/>
      <c r="H29" s="16"/>
    </row>
    <row r="30" spans="1:8" ht="13.2" customHeight="1" x14ac:dyDescent="0.25">
      <c r="A30" s="13"/>
      <c r="B30" s="13"/>
      <c r="C30" s="13"/>
      <c r="D30" s="13"/>
      <c r="E30" s="15"/>
      <c r="F30" s="21"/>
      <c r="G30" s="16"/>
      <c r="H30" s="16"/>
    </row>
    <row r="31" spans="1:8" ht="13.2" hidden="1" customHeight="1" x14ac:dyDescent="0.25">
      <c r="A31">
        <f>SUM(A2:A30)</f>
        <v>1256.58</v>
      </c>
      <c r="B31">
        <f t="shared" ref="B31:D31" si="0">SUM(B2:B30)</f>
        <v>2010.52</v>
      </c>
      <c r="C31">
        <f t="shared" si="0"/>
        <v>250.96</v>
      </c>
      <c r="D31">
        <f t="shared" si="0"/>
        <v>1254.6600000000001</v>
      </c>
      <c r="E31">
        <f>A31*1+B31*2+C31*3+D31*4</f>
        <v>11049.14</v>
      </c>
      <c r="F31" s="20"/>
    </row>
    <row r="32" spans="1:8" hidden="1" x14ac:dyDescent="0.25">
      <c r="A32">
        <f>COUNTA(A2:A30)</f>
        <v>5</v>
      </c>
      <c r="B32">
        <f t="shared" ref="B32:D32" si="1">COUNTA(B2:B30)</f>
        <v>8</v>
      </c>
      <c r="C32">
        <f t="shared" si="1"/>
        <v>1</v>
      </c>
      <c r="D32">
        <f t="shared" si="1"/>
        <v>5</v>
      </c>
      <c r="F32" s="20"/>
    </row>
    <row r="33" spans="1:6" x14ac:dyDescent="0.25">
      <c r="A33" s="20"/>
      <c r="B33" s="19" t="s">
        <v>8</v>
      </c>
      <c r="C33" s="19"/>
      <c r="D33" s="20"/>
      <c r="E33" s="20"/>
      <c r="F33" s="20"/>
    </row>
    <row r="34" spans="1:6" x14ac:dyDescent="0.25">
      <c r="A34" s="20"/>
      <c r="B34" s="19"/>
      <c r="C34" s="19"/>
      <c r="D34" s="20"/>
      <c r="E34" s="20"/>
      <c r="F34" s="20"/>
    </row>
  </sheetData>
  <mergeCells count="12">
    <mergeCell ref="B33:C34"/>
    <mergeCell ref="I4:I11"/>
    <mergeCell ref="F1:H2"/>
    <mergeCell ref="F3:H3"/>
    <mergeCell ref="G4:H5"/>
    <mergeCell ref="F4:F5"/>
    <mergeCell ref="F7:F8"/>
    <mergeCell ref="F10:F11"/>
    <mergeCell ref="G7:H8"/>
    <mergeCell ref="G10:H11"/>
    <mergeCell ref="F6:H6"/>
    <mergeCell ref="F9:H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土方计算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吴一博</dc:creator>
  <cp:lastModifiedBy>吴一博</cp:lastModifiedBy>
  <dcterms:created xsi:type="dcterms:W3CDTF">2018-03-29T11:23:42Z</dcterms:created>
  <dcterms:modified xsi:type="dcterms:W3CDTF">2018-04-08T12:29:54Z</dcterms:modified>
</cp:coreProperties>
</file>